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ciones" sheetId="1" r:id="rId5"/>
    <sheet state="visible" name="Catálogo" sheetId="2" r:id="rId6"/>
    <sheet state="visible" name="Ventas" sheetId="3" r:id="rId7"/>
    <sheet state="visible" name="Tabla dinámica 1" sheetId="4" r:id="rId8"/>
  </sheets>
  <definedNames>
    <definedName hidden="1" localSheetId="2" name="Z_2582F2F4_4AC9_4C19_8EA3_861E7871D7EB_.wvu.FilterData">Ventas!$A$1:$K$201</definedName>
    <definedName hidden="1" localSheetId="1" name="Z_9D31415A_335B_45D3_B2E6_E73CF46889A5_.wvu.FilterData">'Catálogo'!$A$1:$D$9</definedName>
  </definedNames>
  <calcPr/>
  <customWorkbookViews>
    <customWorkbookView activeSheetId="0" maximized="1" windowHeight="0" windowWidth="0" guid="{2582F2F4-4AC9-4C19-8EA3-861E7871D7EB}" name="FactVentas filter view"/>
    <customWorkbookView activeSheetId="0" maximized="1" windowHeight="0" windowWidth="0" guid="{9D31415A-335B-45D3-B2E6-E73CF46889A5}" name="DimRopa filter view"/>
  </customWorkbookViews>
  <pivotCaches>
    <pivotCache cacheId="0" r:id="rId9"/>
  </pivotCaches>
</workbook>
</file>

<file path=xl/sharedStrings.xml><?xml version="1.0" encoding="utf-8"?>
<sst xmlns="http://schemas.openxmlformats.org/spreadsheetml/2006/main" count="1269" uniqueCount="290">
  <si>
    <t>¡Reto Excel Puro: E-Commerce de Streetwear!</t>
  </si>
  <si>
    <t>Entendido, Fer. Cero Power Query. Volvemos al ring de Excel puro con fórmulas lógicas y BI.</t>
  </si>
  <si>
    <t>Eres el Analista de Ventas de una marca de ropa (Estilo Pull&amp;Bear).</t>
  </si>
  <si>
    <t>Tus objetivos sin ayuda de código:</t>
  </si>
  <si>
    <t>1. Tablas: Convierte 'Catálogo' y 'Ventas' en Tablas de Excel formales (Ctrl+T).</t>
  </si>
  <si>
    <t>2. Cruce (BUSCARX): En 'Ventas', trae la Prenda, Categoría y Costo_Fabricacion usando el SKU.</t>
  </si>
  <si>
    <t>3. Cálculo Financiero: Crea la columna 'Ganancia_Neta' (Precio_Venta - Costo_Fabricacion).</t>
  </si>
  <si>
    <t>4. Lógica de Negocio (SI): Crea la columna 'Rentabilidad'.</t>
  </si>
  <si>
    <t xml:space="preserve">   - Si la Ganancia_Neta es mayor a $250, escribe 'Alta', si no, 'Normal'.</t>
  </si>
  <si>
    <t>5. El Test de Agregaciones (¡Cuidado aquí!):</t>
  </si>
  <si>
    <t xml:space="preserve">   - a) ¿Cuántos TICKETS (ventas) se hicieron en la talla 'L'?</t>
  </si>
  <si>
    <t xml:space="preserve">   - b) ¿Cuánto DINERO EN GANANCIA NETA generó la categoría 'Pantalones'?</t>
  </si>
  <si>
    <t>6. Data Viz: Tabla Dinámica de Ganancia_Neta por Canal_Venta (Filas) y Categoría (Columnas).</t>
  </si>
  <si>
    <t xml:space="preserve">   Añade un gráfico de barras, sin botones grises y con etiquetas de datos limpias.</t>
  </si>
  <si>
    <t>SKU</t>
  </si>
  <si>
    <t>ID_Venta</t>
  </si>
  <si>
    <t>Prenda</t>
  </si>
  <si>
    <t>Categoria</t>
  </si>
  <si>
    <t>Fecha</t>
  </si>
  <si>
    <t>Costo_Fabricacion</t>
  </si>
  <si>
    <t>SKU-01</t>
  </si>
  <si>
    <t>Talla</t>
  </si>
  <si>
    <t>Canal_Venta</t>
  </si>
  <si>
    <t>Jeans Baggy Light Indigo</t>
  </si>
  <si>
    <t>Precio_Venta</t>
  </si>
  <si>
    <t>Pantalones</t>
  </si>
  <si>
    <t>Costo</t>
  </si>
  <si>
    <t>SKU-02</t>
  </si>
  <si>
    <t>Ganancia neta</t>
  </si>
  <si>
    <t>Jeans Relaxed Fit Dark</t>
  </si>
  <si>
    <t>Rentabilidad</t>
  </si>
  <si>
    <t>Tickets L</t>
  </si>
  <si>
    <t>V-1040</t>
  </si>
  <si>
    <t>SKU-03</t>
  </si>
  <si>
    <t>2026-08-01</t>
  </si>
  <si>
    <t>Chaqueta Double-Faced</t>
  </si>
  <si>
    <t>Abrigos</t>
  </si>
  <si>
    <t>M</t>
  </si>
  <si>
    <t>Tienda Física</t>
  </si>
  <si>
    <t>SKU-04</t>
  </si>
  <si>
    <t>Hoodie Oversize Black</t>
  </si>
  <si>
    <t>Sudaderas</t>
  </si>
  <si>
    <t>SKU-05</t>
  </si>
  <si>
    <t>Sneakers Chunky White</t>
  </si>
  <si>
    <t>Calzado</t>
  </si>
  <si>
    <t>SKU-06</t>
  </si>
  <si>
    <t>Camiseta Graphic Print</t>
  </si>
  <si>
    <t>Camisetas</t>
  </si>
  <si>
    <t>SKU-07</t>
  </si>
  <si>
    <t>Cargo Pants Olive</t>
  </si>
  <si>
    <t>SKU-08</t>
  </si>
  <si>
    <t>Beanie Beis</t>
  </si>
  <si>
    <t>Accesorios</t>
  </si>
  <si>
    <t>V-1073</t>
  </si>
  <si>
    <t>L</t>
  </si>
  <si>
    <t>App Móvil</t>
  </si>
  <si>
    <t>V-1136</t>
  </si>
  <si>
    <t>V-1163</t>
  </si>
  <si>
    <t>S</t>
  </si>
  <si>
    <t>Web</t>
  </si>
  <si>
    <t>V-1166</t>
  </si>
  <si>
    <t>V-1081</t>
  </si>
  <si>
    <t>V-1082</t>
  </si>
  <si>
    <t>2026-08-02</t>
  </si>
  <si>
    <t>V-1186</t>
  </si>
  <si>
    <t>SUM de Ganancia neta</t>
  </si>
  <si>
    <t>Suma total</t>
  </si>
  <si>
    <t>V-1045</t>
  </si>
  <si>
    <t>V-1160</t>
  </si>
  <si>
    <t>V-1079</t>
  </si>
  <si>
    <t>V-1137</t>
  </si>
  <si>
    <t>Unitalla</t>
  </si>
  <si>
    <t>V-1059</t>
  </si>
  <si>
    <t>V-1143</t>
  </si>
  <si>
    <t>2026-08-03</t>
  </si>
  <si>
    <t>V-1122</t>
  </si>
  <si>
    <t>V-1101</t>
  </si>
  <si>
    <t>V-1022</t>
  </si>
  <si>
    <t>V-1099</t>
  </si>
  <si>
    <t>V-1030</t>
  </si>
  <si>
    <t>V-1114</t>
  </si>
  <si>
    <t>XL</t>
  </si>
  <si>
    <t>V-1053</t>
  </si>
  <si>
    <t>V-1110</t>
  </si>
  <si>
    <t>2026-08-04</t>
  </si>
  <si>
    <t>V-1198</t>
  </si>
  <si>
    <t>V-1194</t>
  </si>
  <si>
    <t>V-1150</t>
  </si>
  <si>
    <t>V-1106</t>
  </si>
  <si>
    <t>V-1044</t>
  </si>
  <si>
    <t>V-1103</t>
  </si>
  <si>
    <t>V-1134</t>
  </si>
  <si>
    <t>2026-08-05</t>
  </si>
  <si>
    <t>V-1130</t>
  </si>
  <si>
    <t>V-1152</t>
  </si>
  <si>
    <t>V-1063</t>
  </si>
  <si>
    <t>V-1158</t>
  </si>
  <si>
    <t>V-1083</t>
  </si>
  <si>
    <t>V-1097</t>
  </si>
  <si>
    <t>V-1019</t>
  </si>
  <si>
    <t>V-1181</t>
  </si>
  <si>
    <t>V-1014</t>
  </si>
  <si>
    <t>V-1012</t>
  </si>
  <si>
    <t>2026-08-06</t>
  </si>
  <si>
    <t>V-1050</t>
  </si>
  <si>
    <t>V-1060</t>
  </si>
  <si>
    <t>V-1173</t>
  </si>
  <si>
    <t>V-1146</t>
  </si>
  <si>
    <t>V-1176</t>
  </si>
  <si>
    <t>V-1096</t>
  </si>
  <si>
    <t>2026-08-07</t>
  </si>
  <si>
    <t>V-1087</t>
  </si>
  <si>
    <t>V-1118</t>
  </si>
  <si>
    <t>V-1093</t>
  </si>
  <si>
    <t>V-1187</t>
  </si>
  <si>
    <t>V-1005</t>
  </si>
  <si>
    <t>V-1011</t>
  </si>
  <si>
    <t>V-1156</t>
  </si>
  <si>
    <t>2026-08-08</t>
  </si>
  <si>
    <t>V-1029</t>
  </si>
  <si>
    <t>V-1107</t>
  </si>
  <si>
    <t>V-1002</t>
  </si>
  <si>
    <t>V-1151</t>
  </si>
  <si>
    <t>V-1089</t>
  </si>
  <si>
    <t>V-1092</t>
  </si>
  <si>
    <t>V-1031</t>
  </si>
  <si>
    <t>2026-08-09</t>
  </si>
  <si>
    <t>V-1008</t>
  </si>
  <si>
    <t>V-1095</t>
  </si>
  <si>
    <t>V-1200</t>
  </si>
  <si>
    <t>V-1121</t>
  </si>
  <si>
    <t>2026-08-10</t>
  </si>
  <si>
    <t>V-1175</t>
  </si>
  <si>
    <t>V-1183</t>
  </si>
  <si>
    <t>2026-08-11</t>
  </si>
  <si>
    <t>V-1094</t>
  </si>
  <si>
    <t>V-1048</t>
  </si>
  <si>
    <t>V-1102</t>
  </si>
  <si>
    <t>V-1056</t>
  </si>
  <si>
    <t>V-1145</t>
  </si>
  <si>
    <t>V-1054</t>
  </si>
  <si>
    <t>V-1144</t>
  </si>
  <si>
    <t>V-1128</t>
  </si>
  <si>
    <t>V-1197</t>
  </si>
  <si>
    <t>V-1023</t>
  </si>
  <si>
    <t>V-1170</t>
  </si>
  <si>
    <t>2026-08-12</t>
  </si>
  <si>
    <t>V-1071</t>
  </si>
  <si>
    <t>V-1155</t>
  </si>
  <si>
    <t>2026-08-13</t>
  </si>
  <si>
    <t>V-1105</t>
  </si>
  <si>
    <t>V-1131</t>
  </si>
  <si>
    <t>V-1001</t>
  </si>
  <si>
    <t>V-1072</t>
  </si>
  <si>
    <t>V-1078</t>
  </si>
  <si>
    <t>2026-08-14</t>
  </si>
  <si>
    <t>V-1172</t>
  </si>
  <si>
    <t>V-1085</t>
  </si>
  <si>
    <t>V-1074</t>
  </si>
  <si>
    <t>V-1189</t>
  </si>
  <si>
    <t>V-1132</t>
  </si>
  <si>
    <t>2026-08-15</t>
  </si>
  <si>
    <t>V-1016</t>
  </si>
  <si>
    <t>V-1109</t>
  </si>
  <si>
    <t>V-1192</t>
  </si>
  <si>
    <t>V-1084</t>
  </si>
  <si>
    <t>V-1013</t>
  </si>
  <si>
    <t>2026-08-16</t>
  </si>
  <si>
    <t>V-1138</t>
  </si>
  <si>
    <t>V-1168</t>
  </si>
  <si>
    <t>V-1196</t>
  </si>
  <si>
    <t>V-1068</t>
  </si>
  <si>
    <t>2026-08-17</t>
  </si>
  <si>
    <t>V-1086</t>
  </si>
  <si>
    <t>V-1171</t>
  </si>
  <si>
    <t>V-1154</t>
  </si>
  <si>
    <t>V-1058</t>
  </si>
  <si>
    <t>V-1003</t>
  </si>
  <si>
    <t>V-1129</t>
  </si>
  <si>
    <t>V-1015</t>
  </si>
  <si>
    <t>V-1177</t>
  </si>
  <si>
    <t>2026-08-18</t>
  </si>
  <si>
    <t>V-1159</t>
  </si>
  <si>
    <t>V-1025</t>
  </si>
  <si>
    <t>V-1147</t>
  </si>
  <si>
    <t>V-1193</t>
  </si>
  <si>
    <t>V-1141</t>
  </si>
  <si>
    <t>V-1077</t>
  </si>
  <si>
    <t>V-1061</t>
  </si>
  <si>
    <t>V-1006</t>
  </si>
  <si>
    <t>2026-08-19</t>
  </si>
  <si>
    <t>V-1051</t>
  </si>
  <si>
    <t>V-1142</t>
  </si>
  <si>
    <t>V-1035</t>
  </si>
  <si>
    <t>2026-08-20</t>
  </si>
  <si>
    <t>V-1180</t>
  </si>
  <si>
    <t>V-1010</t>
  </si>
  <si>
    <t>V-1115</t>
  </si>
  <si>
    <t>V-1004</t>
  </si>
  <si>
    <t>V-1043</t>
  </si>
  <si>
    <t>V-1190</t>
  </si>
  <si>
    <t>V-1064</t>
  </si>
  <si>
    <t>2026-08-21</t>
  </si>
  <si>
    <t>V-1164</t>
  </si>
  <si>
    <t>V-1184</t>
  </si>
  <si>
    <t>V-1140</t>
  </si>
  <si>
    <t>V-1046</t>
  </si>
  <si>
    <t>V-1027</t>
  </si>
  <si>
    <t>V-1179</t>
  </si>
  <si>
    <t>V-1052</t>
  </si>
  <si>
    <t>V-1116</t>
  </si>
  <si>
    <t>V-1127</t>
  </si>
  <si>
    <t>V-1174</t>
  </si>
  <si>
    <t>2026-08-22</t>
  </si>
  <si>
    <t>V-1091</t>
  </si>
  <si>
    <t>V-1167</t>
  </si>
  <si>
    <t>V-1117</t>
  </si>
  <si>
    <t>V-1153</t>
  </si>
  <si>
    <t>V-1034</t>
  </si>
  <si>
    <t>V-1075</t>
  </si>
  <si>
    <t>V-1090</t>
  </si>
  <si>
    <t>V-1135</t>
  </si>
  <si>
    <t>V-1065</t>
  </si>
  <si>
    <t>2026-08-23</t>
  </si>
  <si>
    <t>V-1049</t>
  </si>
  <si>
    <t>V-1037</t>
  </si>
  <si>
    <t>V-1139</t>
  </si>
  <si>
    <t>V-1017</t>
  </si>
  <si>
    <t>V-1039</t>
  </si>
  <si>
    <t>V-1120</t>
  </si>
  <si>
    <t>V-1185</t>
  </si>
  <si>
    <t>V-1199</t>
  </si>
  <si>
    <t>2026-08-24</t>
  </si>
  <si>
    <t>V-1028</t>
  </si>
  <si>
    <t>V-1055</t>
  </si>
  <si>
    <t>V-1124</t>
  </si>
  <si>
    <t>V-1104</t>
  </si>
  <si>
    <t>V-1123</t>
  </si>
  <si>
    <t>V-1026</t>
  </si>
  <si>
    <t>V-1067</t>
  </si>
  <si>
    <t>V-1162</t>
  </si>
  <si>
    <t>2026-08-25</t>
  </si>
  <si>
    <t>V-1149</t>
  </si>
  <si>
    <t>V-1112</t>
  </si>
  <si>
    <t>V-1007</t>
  </si>
  <si>
    <t>V-1088</t>
  </si>
  <si>
    <t>2026-08-26</t>
  </si>
  <si>
    <t>V-1024</t>
  </si>
  <si>
    <t>V-1038</t>
  </si>
  <si>
    <t>V-1032</t>
  </si>
  <si>
    <t>V-1069</t>
  </si>
  <si>
    <t>V-1070</t>
  </si>
  <si>
    <t>V-1047</t>
  </si>
  <si>
    <t>V-1182</t>
  </si>
  <si>
    <t>V-1080</t>
  </si>
  <si>
    <t>2026-08-27</t>
  </si>
  <si>
    <t>V-1119</t>
  </si>
  <si>
    <t>V-1191</t>
  </si>
  <si>
    <t>V-1178</t>
  </si>
  <si>
    <t>V-1076</t>
  </si>
  <si>
    <t>V-1042</t>
  </si>
  <si>
    <t>2026-08-28</t>
  </si>
  <si>
    <t>V-1021</t>
  </si>
  <si>
    <t>V-1126</t>
  </si>
  <si>
    <t>V-1018</t>
  </si>
  <si>
    <t>V-1195</t>
  </si>
  <si>
    <t>2026-08-29</t>
  </si>
  <si>
    <t>V-1111</t>
  </si>
  <si>
    <t>V-1066</t>
  </si>
  <si>
    <t>V-1125</t>
  </si>
  <si>
    <t>V-1108</t>
  </si>
  <si>
    <t>V-1036</t>
  </si>
  <si>
    <t>V-1157</t>
  </si>
  <si>
    <t>V-1033</t>
  </si>
  <si>
    <t>V-1169</t>
  </si>
  <si>
    <t>V-1100</t>
  </si>
  <si>
    <t>V-1161</t>
  </si>
  <si>
    <t>2026-08-30</t>
  </si>
  <si>
    <t>V-1148</t>
  </si>
  <si>
    <t>V-1165</t>
  </si>
  <si>
    <t>V-1133</t>
  </si>
  <si>
    <t>V-1057</t>
  </si>
  <si>
    <t>V-1020</t>
  </si>
  <si>
    <t>V-1113</t>
  </si>
  <si>
    <t>V-1009</t>
  </si>
  <si>
    <t>V-1188</t>
  </si>
  <si>
    <t>2026-08-31</t>
  </si>
  <si>
    <t>V-1062</t>
  </si>
  <si>
    <t>V-1098</t>
  </si>
  <si>
    <t>V-1041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</si>
</sst>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"/>
    <numFmt numFmtId="165" formatCode="&quot;$&quot;#,##0.00"/>
  </numFmts>
  <fonts count="5">
    <font>
      <sz val="11.0"/>
      <color theme="1"/>
      <name val="Calibri"/>
      <scheme val="minor"/>
    </font>
    <font>
      <b/>
      <sz val="14.0"/>
      <color rgb="FF003366"/>
      <name val="Calibri"/>
      <scheme val="minor"/>
    </font>
    <font>
      <color rgb="FFFFFFFF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F4CCCC"/>
        <bgColor rgb="FFF4CCCC"/>
      </patternFill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0" numFmtId="0" xfId="0" applyFont="1"/>
    <xf borderId="0" fillId="0" fontId="2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4" numFmtId="165" xfId="0" applyAlignment="1" applyFont="1" applyNumberFormat="1">
      <alignment shrinkToFit="0" vertical="center" wrapText="0"/>
    </xf>
    <xf borderId="0" fillId="2" fontId="3" numFmtId="0" xfId="0" applyAlignment="1" applyFill="1" applyFont="1">
      <alignment readingOrder="0"/>
    </xf>
    <xf borderId="0" fillId="0" fontId="4" numFmtId="164" xfId="0" applyAlignment="1" applyFont="1" applyNumberFormat="1">
      <alignment shrinkToFit="0" vertical="center" wrapText="0"/>
    </xf>
    <xf borderId="0" fillId="0" fontId="4" numFmtId="0" xfId="0" applyAlignment="1" applyFont="1">
      <alignment shrinkToFit="0" vertical="center" wrapText="0"/>
    </xf>
    <xf borderId="0" fillId="0" fontId="4" numFmtId="164" xfId="0" applyAlignment="1" applyFont="1" applyNumberFormat="1">
      <alignment shrinkToFit="0" vertical="center" wrapText="0"/>
    </xf>
    <xf borderId="0" fillId="3" fontId="3" numFmtId="0" xfId="0" applyFill="1" applyFont="1"/>
    <xf borderId="0" fillId="3" fontId="3" numFmtId="164" xfId="0" applyFont="1" applyNumberFormat="1"/>
    <xf borderId="0" fillId="0" fontId="3" numFmtId="0" xfId="0" applyFont="1"/>
    <xf borderId="0" fillId="0" fontId="3" numFmtId="164" xfId="0" applyFont="1" applyNumberFormat="1"/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theme="5"/>
          <bgColor theme="5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  <dxf>
      <font/>
      <fill>
        <patternFill patternType="solid">
          <fgColor rgb="FFF2DBDB"/>
          <bgColor rgb="FFF2DBDB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  <dxf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 style="thin">
          <color rgb="FFD4D4D4"/>
        </vertical>
        <horizontal style="thin">
          <color rgb="FFD4D4D4"/>
        </horizontal>
      </border>
    </dxf>
  </dxfs>
  <tableStyles count="2">
    <tableStyle count="4" pivot="0" name="Catálogo-style">
      <tableStyleElement dxfId="1" type="headerRow"/>
      <tableStyleElement dxfId="3" type="firstRowStripe"/>
      <tableStyleElement dxfId="5" type="secondRowStripe"/>
      <tableStyleElement dxfId="6" size="0" type="wholeTable"/>
    </tableStyle>
    <tableStyle count="4" pivot="0" name="Ventas-style">
      <tableStyleElement dxfId="2" type="headerRow"/>
      <tableStyleElement dxfId="4" type="firstRowStripe"/>
      <tableStyleElement dxfId="5" type="secondRowStripe"/>
      <tableStyleElement dxfId="7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pivotCacheDefinition" Target="pivotCache/pivotCacheDefinition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App Móvil, Tienda Física y Web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'Tabla dinámica 1'!$A$3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'Tabla dinámica 1'!$B$2:$G$2</c:f>
            </c:strRef>
          </c:cat>
          <c:val>
            <c:numRef>
              <c:f>'Tabla dinámica 1'!$B$3:$G$3</c:f>
              <c:numCache/>
            </c:numRef>
          </c:val>
        </c:ser>
        <c:ser>
          <c:idx val="1"/>
          <c:order val="1"/>
          <c:tx>
            <c:strRef>
              <c:f>'Tabla dinámica 1'!$A$4</c:f>
            </c:strRef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'Tabla dinámica 1'!$B$2:$G$2</c:f>
            </c:strRef>
          </c:cat>
          <c:val>
            <c:numRef>
              <c:f>'Tabla dinámica 1'!$B$4:$G$4</c:f>
              <c:numCache/>
            </c:numRef>
          </c:val>
        </c:ser>
        <c:ser>
          <c:idx val="2"/>
          <c:order val="2"/>
          <c:tx>
            <c:strRef>
              <c:f>'Tabla dinámica 1'!$A$5</c:f>
            </c:strRef>
          </c:tx>
          <c:spPr>
            <a:solidFill>
              <a:schemeClr val="accent3"/>
            </a:solidFill>
            <a:ln cmpd="sng">
              <a:noFill/>
            </a:ln>
          </c:spPr>
          <c:cat>
            <c:strRef>
              <c:f>'Tabla dinámica 1'!$B$2:$G$2</c:f>
            </c:strRef>
          </c:cat>
          <c:val>
            <c:numRef>
              <c:f>'Tabla dinámica 1'!$B$5:$G$5</c:f>
              <c:numCache/>
            </c:numRef>
          </c:val>
        </c:ser>
        <c:overlap val="100"/>
        <c:axId val="1941078978"/>
        <c:axId val="1555982230"/>
      </c:barChart>
      <c:catAx>
        <c:axId val="194107897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Canal_Venta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55982230"/>
      </c:catAx>
      <c:valAx>
        <c:axId val="155598223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4107897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9525</xdr:colOff>
      <xdr:row>6</xdr:row>
      <xdr:rowOff>9525</xdr:rowOff>
    </xdr:from>
    <xdr:ext cx="4200525" cy="2590800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K201" sheet="Ventas"/>
  </cacheSource>
  <cacheFields>
    <cacheField name="ID_Venta" numFmtId="0">
      <sharedItems>
        <s v="V-1040"/>
        <s v="V-1073"/>
        <s v="V-1136"/>
        <s v="V-1163"/>
        <s v="V-1166"/>
        <s v="V-1081"/>
        <s v="V-1082"/>
        <s v="V-1186"/>
        <s v="V-1045"/>
        <s v="V-1160"/>
        <s v="V-1079"/>
        <s v="V-1137"/>
        <s v="V-1059"/>
        <s v="V-1143"/>
        <s v="V-1122"/>
        <s v="V-1101"/>
        <s v="V-1022"/>
        <s v="V-1099"/>
        <s v="V-1030"/>
        <s v="V-1114"/>
        <s v="V-1053"/>
        <s v="V-1110"/>
        <s v="V-1198"/>
        <s v="V-1194"/>
        <s v="V-1150"/>
        <s v="V-1106"/>
        <s v="V-1044"/>
        <s v="V-1103"/>
        <s v="V-1134"/>
        <s v="V-1130"/>
        <s v="V-1152"/>
        <s v="V-1063"/>
        <s v="V-1158"/>
        <s v="V-1083"/>
        <s v="V-1097"/>
        <s v="V-1019"/>
        <s v="V-1181"/>
        <s v="V-1014"/>
        <s v="V-1012"/>
        <s v="V-1050"/>
        <s v="V-1060"/>
        <s v="V-1173"/>
        <s v="V-1146"/>
        <s v="V-1176"/>
        <s v="V-1096"/>
        <s v="V-1087"/>
        <s v="V-1118"/>
        <s v="V-1093"/>
        <s v="V-1187"/>
        <s v="V-1005"/>
        <s v="V-1011"/>
        <s v="V-1156"/>
        <s v="V-1029"/>
        <s v="V-1107"/>
        <s v="V-1002"/>
        <s v="V-1151"/>
        <s v="V-1089"/>
        <s v="V-1092"/>
        <s v="V-1031"/>
        <s v="V-1008"/>
        <s v="V-1095"/>
        <s v="V-1200"/>
        <s v="V-1121"/>
        <s v="V-1175"/>
        <s v="V-1183"/>
        <s v="V-1094"/>
        <s v="V-1048"/>
        <s v="V-1102"/>
        <s v="V-1056"/>
        <s v="V-1145"/>
        <s v="V-1054"/>
        <s v="V-1144"/>
        <s v="V-1128"/>
        <s v="V-1197"/>
        <s v="V-1023"/>
        <s v="V-1170"/>
        <s v="V-1071"/>
        <s v="V-1155"/>
        <s v="V-1105"/>
        <s v="V-1131"/>
        <s v="V-1001"/>
        <s v="V-1072"/>
        <s v="V-1078"/>
        <s v="V-1172"/>
        <s v="V-1085"/>
        <s v="V-1074"/>
        <s v="V-1189"/>
        <s v="V-1132"/>
        <s v="V-1016"/>
        <s v="V-1109"/>
        <s v="V-1192"/>
        <s v="V-1084"/>
        <s v="V-1013"/>
        <s v="V-1138"/>
        <s v="V-1168"/>
        <s v="V-1196"/>
        <s v="V-1068"/>
        <s v="V-1086"/>
        <s v="V-1171"/>
        <s v="V-1154"/>
        <s v="V-1058"/>
        <s v="V-1003"/>
        <s v="V-1129"/>
        <s v="V-1015"/>
        <s v="V-1177"/>
        <s v="V-1159"/>
        <s v="V-1025"/>
        <s v="V-1147"/>
        <s v="V-1193"/>
        <s v="V-1141"/>
        <s v="V-1077"/>
        <s v="V-1061"/>
        <s v="V-1006"/>
        <s v="V-1051"/>
        <s v="V-1142"/>
        <s v="V-1035"/>
        <s v="V-1180"/>
        <s v="V-1010"/>
        <s v="V-1115"/>
        <s v="V-1004"/>
        <s v="V-1043"/>
        <s v="V-1190"/>
        <s v="V-1064"/>
        <s v="V-1164"/>
        <s v="V-1184"/>
        <s v="V-1140"/>
        <s v="V-1046"/>
        <s v="V-1027"/>
        <s v="V-1179"/>
        <s v="V-1052"/>
        <s v="V-1116"/>
        <s v="V-1127"/>
        <s v="V-1174"/>
        <s v="V-1091"/>
        <s v="V-1167"/>
        <s v="V-1117"/>
        <s v="V-1153"/>
        <s v="V-1034"/>
        <s v="V-1075"/>
        <s v="V-1090"/>
        <s v="V-1135"/>
        <s v="V-1065"/>
        <s v="V-1049"/>
        <s v="V-1037"/>
        <s v="V-1139"/>
        <s v="V-1017"/>
        <s v="V-1039"/>
        <s v="V-1120"/>
        <s v="V-1185"/>
        <s v="V-1199"/>
        <s v="V-1028"/>
        <s v="V-1055"/>
        <s v="V-1124"/>
        <s v="V-1104"/>
        <s v="V-1123"/>
        <s v="V-1026"/>
        <s v="V-1067"/>
        <s v="V-1162"/>
        <s v="V-1149"/>
        <s v="V-1112"/>
        <s v="V-1007"/>
        <s v="V-1088"/>
        <s v="V-1024"/>
        <s v="V-1038"/>
        <s v="V-1032"/>
        <s v="V-1069"/>
        <s v="V-1070"/>
        <s v="V-1047"/>
        <s v="V-1182"/>
        <s v="V-1080"/>
        <s v="V-1119"/>
        <s v="V-1191"/>
        <s v="V-1178"/>
        <s v="V-1076"/>
        <s v="V-1042"/>
        <s v="V-1021"/>
        <s v="V-1126"/>
        <s v="V-1018"/>
        <s v="V-1195"/>
        <s v="V-1111"/>
        <s v="V-1066"/>
        <s v="V-1125"/>
        <s v="V-1108"/>
        <s v="V-1036"/>
        <s v="V-1157"/>
        <s v="V-1033"/>
        <s v="V-1169"/>
        <s v="V-1100"/>
        <s v="V-1161"/>
        <s v="V-1148"/>
        <s v="V-1165"/>
        <s v="V-1133"/>
        <s v="V-1057"/>
        <s v="V-1020"/>
        <s v="V-1113"/>
        <s v="V-1009"/>
        <s v="V-1188"/>
        <s v="V-1062"/>
        <s v="V-1098"/>
        <s v="V-1041"/>
      </sharedItems>
    </cacheField>
    <cacheField name="Fecha" numFmtId="0">
      <sharedItems>
        <s v="2026-08-01"/>
        <s v="2026-08-02"/>
        <s v="2026-08-03"/>
        <s v="2026-08-04"/>
        <s v="2026-08-05"/>
        <s v="2026-08-06"/>
        <s v="2026-08-07"/>
        <s v="2026-08-08"/>
        <s v="2026-08-09"/>
        <s v="2026-08-10"/>
        <s v="2026-08-11"/>
        <s v="2026-08-12"/>
        <s v="2026-08-13"/>
        <s v="2026-08-14"/>
        <s v="2026-08-15"/>
        <s v="2026-08-16"/>
        <s v="2026-08-17"/>
        <s v="2026-08-18"/>
        <s v="2026-08-19"/>
        <s v="2026-08-20"/>
        <s v="2026-08-21"/>
        <s v="2026-08-22"/>
        <s v="2026-08-23"/>
        <s v="2026-08-24"/>
        <s v="2026-08-25"/>
        <s v="2026-08-26"/>
        <s v="2026-08-27"/>
        <s v="2026-08-28"/>
        <s v="2026-08-29"/>
        <s v="2026-08-30"/>
        <s v="2026-08-31"/>
      </sharedItems>
    </cacheField>
    <cacheField name="SKU" numFmtId="0">
      <sharedItems>
        <s v="SKU-02"/>
        <s v="SKU-05"/>
        <s v="SKU-04"/>
        <s v="SKU-01"/>
        <s v="SKU-07"/>
        <s v="SKU-08"/>
        <s v="SKU-06"/>
        <s v="SKU-03"/>
      </sharedItems>
    </cacheField>
    <cacheField name="Talla" numFmtId="0">
      <sharedItems>
        <s v="M"/>
        <s v="L"/>
        <s v="S"/>
        <s v="Unitalla"/>
        <s v="XL"/>
      </sharedItems>
    </cacheField>
    <cacheField name="Canal_Venta" numFmtId="0">
      <sharedItems>
        <s v="Tienda Física"/>
        <s v="App Móvil"/>
        <s v="Web"/>
      </sharedItems>
    </cacheField>
    <cacheField name="Precio_Venta" numFmtId="164">
      <sharedItems containsSemiMixedTypes="0" containsString="0" containsNumber="1">
        <n v="548.24"/>
        <n v="663.37"/>
        <n v="448.24"/>
        <n v="428.99"/>
        <n v="621.29"/>
        <n v="497.72"/>
        <n v="836.33"/>
        <n v="588.85"/>
        <n v="753.34"/>
        <n v="587.07"/>
        <n v="435.65"/>
        <n v="158.38"/>
        <n v="558.71"/>
        <n v="180.46"/>
        <n v="859.2"/>
        <n v="534.49"/>
        <n v="854.79"/>
        <n v="746.63"/>
        <n v="158.26"/>
        <n v="762.32"/>
        <n v="394.59"/>
        <n v="650.56"/>
        <n v="560.8"/>
        <n v="158.32"/>
        <n v="555.82"/>
        <n v="881.19"/>
        <n v="638.63"/>
        <n v="724.44"/>
        <n v="853.08"/>
        <n v="654.94"/>
        <n v="1288.33"/>
        <n v="1206.08"/>
        <n v="156.32"/>
        <n v="573.12"/>
        <n v="752.15"/>
        <n v="740.67"/>
        <n v="136.01"/>
        <n v="719.02"/>
        <n v="919.09"/>
        <n v="187.7"/>
        <n v="728.6"/>
        <n v="526.31"/>
        <n v="530.32"/>
        <n v="631.63"/>
        <n v="192.81"/>
        <n v="486.72"/>
        <n v="559.55"/>
        <n v="531.86"/>
        <n v="766.52"/>
        <n v="979.81"/>
        <n v="1270.69"/>
        <n v="115.18"/>
        <n v="703.34"/>
        <n v="657.67"/>
        <n v="1194.32"/>
        <n v="526.3"/>
        <n v="1164.07"/>
        <n v="720.23"/>
        <n v="615.92"/>
        <n v="566.13"/>
        <n v="773.18"/>
        <n v="694.93"/>
        <n v="1156.41"/>
        <n v="726.79"/>
        <n v="429.61"/>
        <n v="441.2"/>
        <n v="1248.49"/>
        <n v="630.2"/>
        <n v="563.04"/>
        <n v="567.93"/>
        <n v="128.12"/>
        <n v="576.25"/>
        <n v="1048.47"/>
        <n v="674.35"/>
        <n v="448.57"/>
        <n v="436.34"/>
        <n v="642.31"/>
        <n v="620.08"/>
        <n v="723.12"/>
        <n v="464.98"/>
        <n v="572.77"/>
        <n v="517.88"/>
        <n v="460.26"/>
        <n v="630.03"/>
        <n v="945.49"/>
        <n v="479.48"/>
        <n v="237.18"/>
        <n v="485.46"/>
        <n v="725.53"/>
        <n v="653.11"/>
        <n v="140.6"/>
        <n v="492.8"/>
        <n v="676.1"/>
        <n v="177.41"/>
        <n v="1045.96"/>
        <n v="676.63"/>
        <n v="682.53"/>
        <n v="1133.42"/>
        <n v="735.07"/>
        <n v="1079.34"/>
        <n v="532.76"/>
        <n v="528.95"/>
        <n v="531.52"/>
        <n v="678.02"/>
        <n v="125.33"/>
        <n v="1118.88"/>
        <n v="625.22"/>
        <n v="678.27"/>
        <n v="134.27"/>
        <n v="916.4"/>
        <n v="1198.19"/>
        <n v="451.42"/>
        <n v="206.07"/>
        <n v="662.6"/>
        <n v="199.4"/>
        <n v="130.23"/>
        <n v="630.3"/>
        <n v="129.16"/>
        <n v="556.12"/>
        <n v="536.73"/>
        <n v="635.57"/>
        <n v="1056.01"/>
        <n v="730.56"/>
        <n v="753.23"/>
        <n v="555.3"/>
        <n v="669.65"/>
        <n v="897.79"/>
        <n v="538.87"/>
        <n v="965.02"/>
        <n v="120.14"/>
        <n v="1075.11"/>
        <n v="968.12"/>
        <n v="670.93"/>
        <n v="660.0"/>
        <n v="549.62"/>
        <n v="657.86"/>
        <n v="541.86"/>
        <n v="1174.51"/>
        <n v="191.54"/>
        <n v="548.7"/>
        <n v="410.74"/>
        <n v="521.89"/>
        <n v="749.59"/>
        <n v="810.31"/>
        <n v="226.39"/>
        <n v="118.28"/>
        <n v="502.3"/>
        <n v="742.15"/>
        <n v="550.4"/>
        <n v="521.59"/>
        <n v="216.55"/>
        <n v="492.52"/>
        <n v="523.1"/>
        <n v="208.2"/>
        <n v="958.22"/>
        <n v="603.0"/>
        <n v="571.44"/>
        <n v="142.5"/>
        <n v="186.84"/>
        <n v="217.94"/>
        <n v="525.3"/>
        <n v="1197.88"/>
        <n v="717.52"/>
        <n v="833.22"/>
        <n v="118.11"/>
        <n v="533.22"/>
        <n v="596.62"/>
        <n v="592.37"/>
        <n v="653.29"/>
        <n v="556.59"/>
        <n v="851.12"/>
        <n v="1090.99"/>
        <n v="127.29"/>
        <n v="618.16"/>
        <n v="653.08"/>
        <n v="680.21"/>
        <n v="765.03"/>
        <n v="947.63"/>
        <n v="117.82"/>
        <n v="150.11"/>
        <n v="190.14"/>
        <n v="858.43"/>
        <n v="749.41"/>
        <n v="504.07"/>
        <n v="896.98"/>
        <n v="740.52"/>
        <n v="1134.65"/>
        <n v="566.98"/>
        <n v="625.08"/>
        <n v="741.41"/>
        <n v="152.05"/>
        <n v="484.8"/>
        <n v="500.03"/>
        <n v="526.06"/>
        <n v="596.83"/>
        <n v="620.85"/>
        <n v="1250.16"/>
        <n v="472.13"/>
        <n v="519.64"/>
        <n v="1012.92"/>
      </sharedItems>
    </cacheField>
    <cacheField name="Prenda" numFmtId="0">
      <sharedItems>
        <s v="Jeans Relaxed Fit Dark"/>
        <s v="Sneakers Chunky White"/>
        <s v="Hoodie Oversize Black"/>
        <s v="Jeans Baggy Light Indigo"/>
        <s v="Cargo Pants Olive"/>
        <s v="Beanie Beis"/>
        <s v="Camiseta Graphic Print"/>
        <s v="Chaqueta Double-Faced"/>
      </sharedItems>
    </cacheField>
    <cacheField name="Categoria" numFmtId="0">
      <sharedItems>
        <s v="Pantalones"/>
        <s v="Calzado"/>
        <s v="Sudaderas"/>
        <s v="Accesorios"/>
        <s v="Camisetas"/>
        <s v="Abrigos"/>
      </sharedItems>
    </cacheField>
    <cacheField name="Costo" numFmtId="164">
      <sharedItems containsSemiMixedTypes="0" containsString="0" containsNumber="1" containsInteger="1">
        <n v="320.0"/>
        <n v="450.0"/>
        <n v="280.0"/>
        <n v="350.0"/>
        <n v="380.0"/>
        <n v="80.0"/>
        <n v="120.0"/>
        <n v="650.0"/>
      </sharedItems>
    </cacheField>
    <cacheField name="Ganancia neta" numFmtId="164">
      <sharedItems containsSemiMixedTypes="0" containsString="0" containsNumber="1">
        <n v="228.24"/>
        <n v="213.37"/>
        <n v="168.24"/>
        <n v="148.99"/>
        <n v="271.28999999999996"/>
        <n v="217.72000000000003"/>
        <n v="386.33000000000004"/>
        <n v="238.85000000000002"/>
        <n v="373.34000000000003"/>
        <n v="267.07000000000005"/>
        <n v="155.64999999999998"/>
        <n v="78.38"/>
        <n v="178.71000000000004"/>
        <n v="60.46000000000001"/>
        <n v="409.20000000000005"/>
        <n v="184.49"/>
        <n v="404.78999999999996"/>
        <n v="366.63"/>
        <n v="78.25999999999999"/>
        <n v="312.32000000000005"/>
        <n v="114.58999999999997"/>
        <n v="300.55999999999995"/>
        <n v="180.79999999999995"/>
        <n v="78.32"/>
        <n v="205.82000000000005"/>
        <n v="431.19000000000005"/>
        <n v="188.63"/>
        <n v="344.44000000000005"/>
        <n v="403.08000000000004"/>
        <n v="304.94000000000005"/>
        <n v="638.3299999999999"/>
        <n v="556.0799999999999"/>
        <n v="76.32"/>
        <n v="223.12"/>
        <n v="302.15"/>
        <n v="290.66999999999996"/>
        <n v="56.00999999999999"/>
        <n v="269.02"/>
        <n v="269.09000000000003"/>
        <n v="67.69999999999999"/>
        <n v="278.6"/>
        <n v="176.30999999999995"/>
        <n v="210.32000000000005"/>
        <n v="181.63"/>
        <n v="72.81"/>
        <n v="166.72000000000003"/>
        <n v="279.54999999999995"/>
        <n v="211.86"/>
        <n v="316.52"/>
        <n v="329.80999999999995"/>
        <n v="620.69"/>
        <n v="35.18000000000001"/>
        <n v="323.34000000000003"/>
        <n v="207.66999999999996"/>
        <n v="544.3199999999999"/>
        <n v="206.29999999999995"/>
        <n v="514.0699999999999"/>
        <n v="270.23"/>
        <n v="295.91999999999996"/>
        <n v="216.13"/>
        <n v="323.17999999999995"/>
        <n v="344.92999999999995"/>
        <n v="506.4100000000001"/>
        <n v="276.78999999999996"/>
        <n v="149.61"/>
        <n v="161.2"/>
        <n v="598.49"/>
        <n v="180.20000000000005"/>
        <n v="183.03999999999996"/>
        <n v="187.92999999999995"/>
        <n v="48.120000000000005"/>
        <n v="256.25"/>
        <n v="398.47"/>
        <n v="324.35"/>
        <n v="168.57"/>
        <n v="156.33999999999997"/>
        <n v="192.30999999999995"/>
        <n v="300.08000000000004"/>
        <n v="273.12"/>
        <n v="144.98000000000002"/>
        <n v="192.76999999999998"/>
        <n v="167.88"/>
        <n v="180.26"/>
        <n v="180.02999999999997"/>
        <n v="295.49"/>
        <n v="159.48000000000002"/>
        <n v="117.18"/>
        <n v="165.45999999999998"/>
        <n v="275.53"/>
        <n v="303.11"/>
        <n v="60.599999999999994"/>
        <n v="172.8"/>
        <n v="296.1"/>
        <n v="57.41"/>
        <n v="395.96000000000004"/>
        <n v="326.63"/>
        <n v="332.53"/>
        <n v="483.4200000000001"/>
        <n v="285.07000000000005"/>
        <n v="429.3399999999999"/>
        <n v="252.76"/>
        <n v="208.95000000000005"/>
        <n v="211.51999999999998"/>
        <n v="298.02"/>
        <n v="45.33"/>
        <n v="468.8800000000001"/>
        <n v="305.22"/>
        <n v="298.27"/>
        <n v="54.27000000000001"/>
        <n v="266.4"/>
        <n v="548.19"/>
        <n v="171.42000000000002"/>
        <n v="86.07"/>
        <n v="282.6"/>
        <n v="79.4"/>
        <n v="50.22999999999999"/>
        <n v="280.29999999999995"/>
        <n v="49.16"/>
        <n v="236.12"/>
        <n v="256.73"/>
        <n v="185.57000000000005"/>
        <n v="406.01"/>
        <n v="350.55999999999995"/>
        <n v="373.23"/>
        <n v="275.29999999999995"/>
        <n v="289.65"/>
        <n v="447.78999999999996"/>
        <n v="258.87"/>
        <n v="315.02"/>
        <n v="40.14"/>
        <n v="425.1099999999999"/>
        <n v="318.12"/>
        <n v="320.92999999999995"/>
        <n v="280.0"/>
        <n v="269.62"/>
        <n v="307.86"/>
        <n v="191.86"/>
        <n v="524.51"/>
        <n v="71.53999999999999"/>
        <n v="228.70000000000005"/>
        <n v="130.74"/>
        <n v="241.89"/>
        <n v="369.59000000000003"/>
        <n v="360.30999999999995"/>
        <n v="106.38999999999999"/>
        <n v="38.28"/>
        <n v="222.3"/>
        <n v="292.15"/>
        <n v="170.39999999999998"/>
        <n v="241.59000000000003"/>
        <n v="96.55000000000001"/>
        <n v="142.51999999999998"/>
        <n v="203.10000000000002"/>
        <n v="88.19999999999999"/>
        <n v="308.22"/>
        <n v="223.0"/>
        <n v="251.44000000000005"/>
        <n v="62.5"/>
        <n v="66.84"/>
        <n v="97.94"/>
        <n v="205.29999999999995"/>
        <n v="547.8800000000001"/>
        <n v="337.52"/>
        <n v="383.22"/>
        <n v="38.11"/>
        <n v="213.22000000000003"/>
        <n v="276.62"/>
        <n v="212.37"/>
        <n v="273.28999999999996"/>
        <n v="236.59000000000003"/>
        <n v="401.12"/>
        <n v="440.99"/>
        <n v="47.290000000000006"/>
        <n v="268.15999999999997"/>
        <n v="273.08000000000004"/>
        <n v="230.21000000000004"/>
        <n v="315.03"/>
        <n v="297.63"/>
        <n v="37.81999999999999"/>
        <n v="70.11000000000001"/>
        <n v="70.13999999999999"/>
        <n v="408.42999999999995"/>
        <n v="299.40999999999997"/>
        <n v="224.07"/>
        <n v="446.98"/>
        <n v="290.52"/>
        <n v="484.6500000000001"/>
        <n v="186.98000000000002"/>
        <n v="275.08000000000004"/>
        <n v="361.40999999999997"/>
        <n v="72.05000000000001"/>
        <n v="164.8"/>
        <n v="150.02999999999997"/>
        <n v="246.05999999999995"/>
        <n v="276.83000000000004"/>
        <n v="300.85"/>
        <n v="600.1600000000001"/>
        <n v="152.13"/>
        <n v="169.64"/>
        <n v="362.91999999999996"/>
      </sharedItems>
    </cacheField>
    <cacheField name="Rentabilidad" numFmtId="0">
      <sharedItems>
        <s v="Regular"/>
        <s v="Alta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a dinámica 1" cacheId="0" dataCaption="" compact="0" compactData="0">
  <location ref="A1:H6" firstHeaderRow="0" firstDataRow="1" firstDataCol="1"/>
  <pivotFields>
    <pivotField name="ID_Vent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Fech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SKU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Talla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anal_Venta" axis="axisRow" compact="0" outline="0" multipleItemSelectionAllowed="1" showAll="0" sortType="ascending">
      <items>
        <item x="1"/>
        <item x="0"/>
        <item x="2"/>
        <item t="default"/>
      </items>
    </pivotField>
    <pivotField name="Precio_Venta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Prenda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Categoria" axis="axisCol" compact="0" outline="0" multipleItemSelectionAllowed="1" showAll="0" sortType="ascending">
      <items>
        <item x="5"/>
        <item x="3"/>
        <item x="1"/>
        <item x="4"/>
        <item x="0"/>
        <item x="2"/>
        <item t="default"/>
      </items>
    </pivotField>
    <pivotField name="Costo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Ganancia neta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Rentabilidad" compact="0" outline="0" multipleItemSelectionAllowed="1" showAll="0">
      <items>
        <item x="0"/>
        <item x="1"/>
        <item t="default"/>
      </items>
    </pivotField>
  </pivotFields>
  <rowFields>
    <field x="4"/>
  </rowFields>
  <colFields>
    <field x="7"/>
  </colFields>
  <dataFields>
    <dataField name="SUM of Ganancia neta" fld="9" baseField="0"/>
  </dataFields>
</pivotTableDefinition>
</file>

<file path=xl/tables/table1.xml><?xml version="1.0" encoding="utf-8"?>
<table xmlns="http://schemas.openxmlformats.org/spreadsheetml/2006/main" ref="A1:D9" displayName="DimRopa" name="DimRopa" id="1">
  <tableColumns count="4">
    <tableColumn name="SKU" id="1"/>
    <tableColumn name="Prenda" id="2"/>
    <tableColumn name="Categoria" id="3"/>
    <tableColumn name="Costo_Fabricacion" id="4"/>
  </tableColumns>
  <tableStyleInfo name="Catálogo-style" showColumnStripes="0" showFirstColumn="1" showLastColumn="1" showRowStripes="1"/>
</table>
</file>

<file path=xl/tables/table2.xml><?xml version="1.0" encoding="utf-8"?>
<table xmlns="http://schemas.openxmlformats.org/spreadsheetml/2006/main" ref="A1:K201" displayName="FactVentas" name="FactVentas" id="2">
  <tableColumns count="11">
    <tableColumn name="ID_Venta" id="1"/>
    <tableColumn name="Fecha" id="2"/>
    <tableColumn name="SKU" id="3"/>
    <tableColumn name="Talla" id="4"/>
    <tableColumn name="Canal_Venta" id="5"/>
    <tableColumn name="Precio_Venta" id="6"/>
    <tableColumn name="Prenda" id="7"/>
    <tableColumn name="Categoria" id="8"/>
    <tableColumn name="Costo" id="9"/>
    <tableColumn name="Ganancia neta" id="10"/>
    <tableColumn name="Rentabilidad" id="11"/>
  </tableColumns>
  <tableStyleInfo name="Venta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0.0"/>
    <col customWidth="1" min="2" max="26" width="8.71"/>
  </cols>
  <sheetData>
    <row r="1">
      <c r="A1" s="1" t="s">
        <v>0</v>
      </c>
    </row>
    <row r="3">
      <c r="A3" s="2" t="s">
        <v>1</v>
      </c>
    </row>
    <row r="4">
      <c r="A4" s="2" t="s">
        <v>2</v>
      </c>
    </row>
    <row r="5">
      <c r="A5" s="2"/>
    </row>
    <row r="6">
      <c r="A6" s="2" t="s">
        <v>3</v>
      </c>
    </row>
    <row r="7">
      <c r="A7" s="2" t="s">
        <v>4</v>
      </c>
    </row>
    <row r="8">
      <c r="A8" s="2" t="s">
        <v>5</v>
      </c>
    </row>
    <row r="9">
      <c r="A9" s="2" t="s">
        <v>6</v>
      </c>
    </row>
    <row r="10">
      <c r="A10" s="2" t="s">
        <v>7</v>
      </c>
    </row>
    <row r="11">
      <c r="A11" s="2" t="s">
        <v>8</v>
      </c>
    </row>
    <row r="12">
      <c r="A12" s="2" t="s">
        <v>9</v>
      </c>
    </row>
    <row r="13">
      <c r="A13" s="2" t="s">
        <v>10</v>
      </c>
    </row>
    <row r="14">
      <c r="A14" s="2" t="s">
        <v>11</v>
      </c>
    </row>
    <row r="15">
      <c r="A15" s="2" t="s">
        <v>12</v>
      </c>
    </row>
    <row r="16">
      <c r="A16" s="2" t="s">
        <v>13</v>
      </c>
    </row>
    <row r="17">
      <c r="A17" s="2"/>
    </row>
    <row r="18">
      <c r="A18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4" width="20.0"/>
    <col customWidth="1" min="5" max="26" width="8.71"/>
  </cols>
  <sheetData>
    <row r="1">
      <c r="A1" s="3" t="s">
        <v>14</v>
      </c>
      <c r="B1" s="3" t="s">
        <v>16</v>
      </c>
      <c r="C1" s="3" t="s">
        <v>17</v>
      </c>
      <c r="D1" s="3" t="s">
        <v>19</v>
      </c>
    </row>
    <row r="2">
      <c r="A2" s="4" t="s">
        <v>20</v>
      </c>
      <c r="B2" s="4" t="s">
        <v>23</v>
      </c>
      <c r="C2" s="4" t="s">
        <v>25</v>
      </c>
      <c r="D2" s="6">
        <v>350.0</v>
      </c>
    </row>
    <row r="3">
      <c r="A3" s="4" t="s">
        <v>27</v>
      </c>
      <c r="B3" s="4" t="s">
        <v>29</v>
      </c>
      <c r="C3" s="4" t="s">
        <v>25</v>
      </c>
      <c r="D3" s="6">
        <v>320.0</v>
      </c>
    </row>
    <row r="4">
      <c r="A4" s="4" t="s">
        <v>33</v>
      </c>
      <c r="B4" s="4" t="s">
        <v>35</v>
      </c>
      <c r="C4" s="4" t="s">
        <v>36</v>
      </c>
      <c r="D4" s="6">
        <v>650.0</v>
      </c>
    </row>
    <row r="5">
      <c r="A5" s="4" t="s">
        <v>39</v>
      </c>
      <c r="B5" s="4" t="s">
        <v>40</v>
      </c>
      <c r="C5" s="4" t="s">
        <v>41</v>
      </c>
      <c r="D5" s="6">
        <v>280.0</v>
      </c>
    </row>
    <row r="6">
      <c r="A6" s="4" t="s">
        <v>42</v>
      </c>
      <c r="B6" s="4" t="s">
        <v>43</v>
      </c>
      <c r="C6" s="4" t="s">
        <v>44</v>
      </c>
      <c r="D6" s="6">
        <v>450.0</v>
      </c>
    </row>
    <row r="7">
      <c r="A7" s="4" t="s">
        <v>45</v>
      </c>
      <c r="B7" s="4" t="s">
        <v>46</v>
      </c>
      <c r="C7" s="4" t="s">
        <v>47</v>
      </c>
      <c r="D7" s="6">
        <v>120.0</v>
      </c>
    </row>
    <row r="8">
      <c r="A8" s="4" t="s">
        <v>48</v>
      </c>
      <c r="B8" s="4" t="s">
        <v>49</v>
      </c>
      <c r="C8" s="4" t="s">
        <v>25</v>
      </c>
      <c r="D8" s="6">
        <v>380.0</v>
      </c>
    </row>
    <row r="9">
      <c r="A9" s="4" t="s">
        <v>50</v>
      </c>
      <c r="B9" s="4" t="s">
        <v>51</v>
      </c>
      <c r="C9" s="4" t="s">
        <v>52</v>
      </c>
      <c r="D9" s="6">
        <v>80.0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9D31415A-335B-45D3-B2E6-E73CF46889A5}" filter="1" showAutoFilter="1">
      <autoFilter ref="$A$1:$D$9"/>
    </customSheetView>
  </customSheetView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6" width="18.0"/>
    <col customWidth="1" min="7" max="7" width="22.71"/>
    <col customWidth="1" min="8" max="8" width="13.71"/>
    <col customWidth="1" min="9" max="9" width="12.86"/>
    <col customWidth="1" min="10" max="10" width="19.0"/>
    <col customWidth="1" min="11" max="11" width="14.71"/>
    <col customWidth="1" min="12" max="12" width="12.71"/>
    <col customWidth="1" min="13" max="14" width="8.71"/>
    <col customWidth="1" min="15" max="15" width="10.71"/>
    <col customWidth="1" min="16" max="26" width="8.71"/>
  </cols>
  <sheetData>
    <row r="1">
      <c r="A1" s="3" t="s">
        <v>15</v>
      </c>
      <c r="B1" s="3" t="s">
        <v>18</v>
      </c>
      <c r="C1" s="3" t="s">
        <v>14</v>
      </c>
      <c r="D1" s="3" t="s">
        <v>21</v>
      </c>
      <c r="E1" s="3" t="s">
        <v>22</v>
      </c>
      <c r="F1" s="3" t="s">
        <v>24</v>
      </c>
      <c r="G1" s="5" t="s">
        <v>16</v>
      </c>
      <c r="H1" s="5" t="s">
        <v>17</v>
      </c>
      <c r="I1" s="5" t="s">
        <v>26</v>
      </c>
      <c r="J1" s="5" t="s">
        <v>28</v>
      </c>
      <c r="K1" s="5" t="s">
        <v>30</v>
      </c>
      <c r="N1" s="7" t="s">
        <v>31</v>
      </c>
      <c r="O1" s="7" t="s">
        <v>25</v>
      </c>
    </row>
    <row r="2">
      <c r="A2" s="4" t="s">
        <v>32</v>
      </c>
      <c r="B2" s="4" t="s">
        <v>34</v>
      </c>
      <c r="C2" s="4" t="s">
        <v>27</v>
      </c>
      <c r="D2" s="4" t="s">
        <v>37</v>
      </c>
      <c r="E2" s="4" t="s">
        <v>38</v>
      </c>
      <c r="F2" s="8">
        <v>548.24</v>
      </c>
      <c r="G2" s="9" t="str">
        <f t="array" ref="G2:I2">XLOOKUP(C2,DimRopa[SKU],DimRopa[[Prenda]:[Costo_Fabricacion]])</f>
        <v>Jeans Relaxed Fit Dark</v>
      </c>
      <c r="H2" s="9" t="s">
        <v>25</v>
      </c>
      <c r="I2" s="10">
        <v>320.0</v>
      </c>
      <c r="J2" s="10">
        <f t="shared" ref="J2:J201" si="1">F2-I2</f>
        <v>228.24</v>
      </c>
      <c r="K2" s="9" t="str">
        <f t="shared" ref="K2:K201" si="2">IF(J2&gt;250,"Alta","Regular")</f>
        <v>Regular</v>
      </c>
      <c r="N2" s="11">
        <f>COUNTIF(D2:D201,"L")</f>
        <v>53</v>
      </c>
      <c r="O2" s="12">
        <f>SUMIF(FactVentas[Categoria],"Pantalones",FactVentas[Ganancia neta])</f>
        <v>19491.26</v>
      </c>
    </row>
    <row r="3">
      <c r="A3" s="4" t="s">
        <v>53</v>
      </c>
      <c r="B3" s="4" t="s">
        <v>34</v>
      </c>
      <c r="C3" s="4" t="s">
        <v>42</v>
      </c>
      <c r="D3" s="4" t="s">
        <v>54</v>
      </c>
      <c r="E3" s="4" t="s">
        <v>55</v>
      </c>
      <c r="F3" s="8">
        <v>663.37</v>
      </c>
      <c r="G3" s="9" t="str">
        <f t="array" ref="G3:I3">XLOOKUP(C3,DimRopa[SKU],DimRopa[[Prenda]:[Costo_Fabricacion]])</f>
        <v>Sneakers Chunky White</v>
      </c>
      <c r="H3" s="9" t="s">
        <v>44</v>
      </c>
      <c r="I3" s="10">
        <v>450.0</v>
      </c>
      <c r="J3" s="10">
        <f t="shared" si="1"/>
        <v>213.37</v>
      </c>
      <c r="K3" s="9" t="str">
        <f t="shared" si="2"/>
        <v>Regular</v>
      </c>
    </row>
    <row r="4">
      <c r="A4" s="4" t="s">
        <v>56</v>
      </c>
      <c r="B4" s="4" t="s">
        <v>34</v>
      </c>
      <c r="C4" s="4" t="s">
        <v>39</v>
      </c>
      <c r="D4" s="4" t="s">
        <v>54</v>
      </c>
      <c r="E4" s="4" t="s">
        <v>55</v>
      </c>
      <c r="F4" s="8">
        <v>448.24</v>
      </c>
      <c r="G4" s="9" t="str">
        <f t="array" ref="G4:I4">XLOOKUP(C4,DimRopa[SKU],DimRopa[[Prenda]:[Costo_Fabricacion]])</f>
        <v>Hoodie Oversize Black</v>
      </c>
      <c r="H4" s="9" t="s">
        <v>41</v>
      </c>
      <c r="I4" s="10">
        <v>280.0</v>
      </c>
      <c r="J4" s="10">
        <f t="shared" si="1"/>
        <v>168.24</v>
      </c>
      <c r="K4" s="9" t="str">
        <f t="shared" si="2"/>
        <v>Regular</v>
      </c>
    </row>
    <row r="5">
      <c r="A5" s="4" t="s">
        <v>57</v>
      </c>
      <c r="B5" s="4" t="s">
        <v>34</v>
      </c>
      <c r="C5" s="4" t="s">
        <v>39</v>
      </c>
      <c r="D5" s="4" t="s">
        <v>58</v>
      </c>
      <c r="E5" s="4" t="s">
        <v>59</v>
      </c>
      <c r="F5" s="8">
        <v>428.99</v>
      </c>
      <c r="G5" s="9" t="str">
        <f t="array" ref="G5:I5">XLOOKUP(C5,DimRopa[SKU],DimRopa[[Prenda]:[Costo_Fabricacion]])</f>
        <v>Hoodie Oversize Black</v>
      </c>
      <c r="H5" s="9" t="s">
        <v>41</v>
      </c>
      <c r="I5" s="10">
        <v>280.0</v>
      </c>
      <c r="J5" s="10">
        <f t="shared" si="1"/>
        <v>148.99</v>
      </c>
      <c r="K5" s="9" t="str">
        <f t="shared" si="2"/>
        <v>Regular</v>
      </c>
    </row>
    <row r="6">
      <c r="A6" s="4" t="s">
        <v>60</v>
      </c>
      <c r="B6" s="4" t="s">
        <v>34</v>
      </c>
      <c r="C6" s="4" t="s">
        <v>20</v>
      </c>
      <c r="D6" s="4" t="s">
        <v>54</v>
      </c>
      <c r="E6" s="4" t="s">
        <v>38</v>
      </c>
      <c r="F6" s="8">
        <v>621.29</v>
      </c>
      <c r="G6" s="9" t="str">
        <f t="array" ref="G6:I6">XLOOKUP(C6,DimRopa[SKU],DimRopa[[Prenda]:[Costo_Fabricacion]])</f>
        <v>Jeans Baggy Light Indigo</v>
      </c>
      <c r="H6" s="9" t="s">
        <v>25</v>
      </c>
      <c r="I6" s="10">
        <v>350.0</v>
      </c>
      <c r="J6" s="10">
        <f t="shared" si="1"/>
        <v>271.29</v>
      </c>
      <c r="K6" s="9" t="str">
        <f t="shared" si="2"/>
        <v>Alta</v>
      </c>
    </row>
    <row r="7">
      <c r="A7" s="4" t="s">
        <v>61</v>
      </c>
      <c r="B7" s="4" t="s">
        <v>34</v>
      </c>
      <c r="C7" s="4" t="s">
        <v>39</v>
      </c>
      <c r="D7" s="4" t="s">
        <v>37</v>
      </c>
      <c r="E7" s="4" t="s">
        <v>38</v>
      </c>
      <c r="F7" s="8">
        <v>497.72</v>
      </c>
      <c r="G7" s="9" t="str">
        <f t="array" ref="G7:I7">XLOOKUP(C7,DimRopa[SKU],DimRopa[[Prenda]:[Costo_Fabricacion]])</f>
        <v>Hoodie Oversize Black</v>
      </c>
      <c r="H7" s="9" t="s">
        <v>41</v>
      </c>
      <c r="I7" s="10">
        <v>280.0</v>
      </c>
      <c r="J7" s="10">
        <f t="shared" si="1"/>
        <v>217.72</v>
      </c>
      <c r="K7" s="9" t="str">
        <f t="shared" si="2"/>
        <v>Regular</v>
      </c>
    </row>
    <row r="8">
      <c r="A8" s="4" t="s">
        <v>62</v>
      </c>
      <c r="B8" s="4" t="s">
        <v>63</v>
      </c>
      <c r="C8" s="4" t="s">
        <v>42</v>
      </c>
      <c r="D8" s="4" t="s">
        <v>37</v>
      </c>
      <c r="E8" s="4" t="s">
        <v>59</v>
      </c>
      <c r="F8" s="8">
        <v>836.33</v>
      </c>
      <c r="G8" s="9" t="str">
        <f t="array" ref="G8:I8">XLOOKUP(C8,DimRopa[SKU],DimRopa[[Prenda]:[Costo_Fabricacion]])</f>
        <v>Sneakers Chunky White</v>
      </c>
      <c r="H8" s="9" t="s">
        <v>44</v>
      </c>
      <c r="I8" s="10">
        <v>450.0</v>
      </c>
      <c r="J8" s="10">
        <f t="shared" si="1"/>
        <v>386.33</v>
      </c>
      <c r="K8" s="9" t="str">
        <f t="shared" si="2"/>
        <v>Alta</v>
      </c>
    </row>
    <row r="9">
      <c r="A9" s="4" t="s">
        <v>64</v>
      </c>
      <c r="B9" s="4" t="s">
        <v>63</v>
      </c>
      <c r="C9" s="4" t="s">
        <v>20</v>
      </c>
      <c r="D9" s="4" t="s">
        <v>58</v>
      </c>
      <c r="E9" s="4" t="s">
        <v>59</v>
      </c>
      <c r="F9" s="8">
        <v>588.85</v>
      </c>
      <c r="G9" s="9" t="str">
        <f t="array" ref="G9:I9">XLOOKUP(C9,DimRopa[SKU],DimRopa[[Prenda]:[Costo_Fabricacion]])</f>
        <v>Jeans Baggy Light Indigo</v>
      </c>
      <c r="H9" s="9" t="s">
        <v>25</v>
      </c>
      <c r="I9" s="10">
        <v>350.0</v>
      </c>
      <c r="J9" s="10">
        <f t="shared" si="1"/>
        <v>238.85</v>
      </c>
      <c r="K9" s="9" t="str">
        <f t="shared" si="2"/>
        <v>Regular</v>
      </c>
    </row>
    <row r="10">
      <c r="A10" s="4" t="s">
        <v>67</v>
      </c>
      <c r="B10" s="4" t="s">
        <v>63</v>
      </c>
      <c r="C10" s="4" t="s">
        <v>48</v>
      </c>
      <c r="D10" s="4" t="s">
        <v>54</v>
      </c>
      <c r="E10" s="4" t="s">
        <v>55</v>
      </c>
      <c r="F10" s="8">
        <v>753.34</v>
      </c>
      <c r="G10" s="9" t="str">
        <f t="array" ref="G10:I10">XLOOKUP(C10,DimRopa[SKU],DimRopa[[Prenda]:[Costo_Fabricacion]])</f>
        <v>Cargo Pants Olive</v>
      </c>
      <c r="H10" s="9" t="s">
        <v>25</v>
      </c>
      <c r="I10" s="10">
        <v>380.0</v>
      </c>
      <c r="J10" s="10">
        <f t="shared" si="1"/>
        <v>373.34</v>
      </c>
      <c r="K10" s="9" t="str">
        <f t="shared" si="2"/>
        <v>Alta</v>
      </c>
    </row>
    <row r="11">
      <c r="A11" s="4" t="s">
        <v>68</v>
      </c>
      <c r="B11" s="4" t="s">
        <v>63</v>
      </c>
      <c r="C11" s="4" t="s">
        <v>27</v>
      </c>
      <c r="D11" s="4" t="s">
        <v>58</v>
      </c>
      <c r="E11" s="4" t="s">
        <v>38</v>
      </c>
      <c r="F11" s="8">
        <v>587.07</v>
      </c>
      <c r="G11" s="9" t="str">
        <f t="array" ref="G11:I11">XLOOKUP(C11,DimRopa[SKU],DimRopa[[Prenda]:[Costo_Fabricacion]])</f>
        <v>Jeans Relaxed Fit Dark</v>
      </c>
      <c r="H11" s="9" t="s">
        <v>25</v>
      </c>
      <c r="I11" s="10">
        <v>320.0</v>
      </c>
      <c r="J11" s="10">
        <f t="shared" si="1"/>
        <v>267.07</v>
      </c>
      <c r="K11" s="9" t="str">
        <f t="shared" si="2"/>
        <v>Alta</v>
      </c>
    </row>
    <row r="12">
      <c r="A12" s="4" t="s">
        <v>69</v>
      </c>
      <c r="B12" s="4" t="s">
        <v>63</v>
      </c>
      <c r="C12" s="4" t="s">
        <v>39</v>
      </c>
      <c r="D12" s="4" t="s">
        <v>37</v>
      </c>
      <c r="E12" s="4" t="s">
        <v>59</v>
      </c>
      <c r="F12" s="8">
        <v>435.65</v>
      </c>
      <c r="G12" s="9" t="str">
        <f t="array" ref="G12:I12">XLOOKUP(C12,DimRopa[SKU],DimRopa[[Prenda]:[Costo_Fabricacion]])</f>
        <v>Hoodie Oversize Black</v>
      </c>
      <c r="H12" s="9" t="s">
        <v>41</v>
      </c>
      <c r="I12" s="10">
        <v>280.0</v>
      </c>
      <c r="J12" s="10">
        <f t="shared" si="1"/>
        <v>155.65</v>
      </c>
      <c r="K12" s="9" t="str">
        <f t="shared" si="2"/>
        <v>Regular</v>
      </c>
    </row>
    <row r="13">
      <c r="A13" s="4" t="s">
        <v>70</v>
      </c>
      <c r="B13" s="4" t="s">
        <v>63</v>
      </c>
      <c r="C13" s="4" t="s">
        <v>50</v>
      </c>
      <c r="D13" s="4" t="s">
        <v>71</v>
      </c>
      <c r="E13" s="4" t="s">
        <v>59</v>
      </c>
      <c r="F13" s="8">
        <v>158.38</v>
      </c>
      <c r="G13" s="9" t="str">
        <f t="array" ref="G13:I13">XLOOKUP(C13,DimRopa[SKU],DimRopa[[Prenda]:[Costo_Fabricacion]])</f>
        <v>Beanie Beis</v>
      </c>
      <c r="H13" s="9" t="s">
        <v>52</v>
      </c>
      <c r="I13" s="10">
        <v>80.0</v>
      </c>
      <c r="J13" s="10">
        <f t="shared" si="1"/>
        <v>78.38</v>
      </c>
      <c r="K13" s="9" t="str">
        <f t="shared" si="2"/>
        <v>Regular</v>
      </c>
    </row>
    <row r="14">
      <c r="A14" s="4" t="s">
        <v>72</v>
      </c>
      <c r="B14" s="4" t="s">
        <v>63</v>
      </c>
      <c r="C14" s="4" t="s">
        <v>48</v>
      </c>
      <c r="D14" s="4" t="s">
        <v>37</v>
      </c>
      <c r="E14" s="4" t="s">
        <v>38</v>
      </c>
      <c r="F14" s="8">
        <v>558.71</v>
      </c>
      <c r="G14" s="9" t="str">
        <f t="array" ref="G14:I14">XLOOKUP(C14,DimRopa[SKU],DimRopa[[Prenda]:[Costo_Fabricacion]])</f>
        <v>Cargo Pants Olive</v>
      </c>
      <c r="H14" s="9" t="s">
        <v>25</v>
      </c>
      <c r="I14" s="10">
        <v>380.0</v>
      </c>
      <c r="J14" s="10">
        <f t="shared" si="1"/>
        <v>178.71</v>
      </c>
      <c r="K14" s="9" t="str">
        <f t="shared" si="2"/>
        <v>Regular</v>
      </c>
    </row>
    <row r="15">
      <c r="A15" s="4" t="s">
        <v>73</v>
      </c>
      <c r="B15" s="4" t="s">
        <v>74</v>
      </c>
      <c r="C15" s="4" t="s">
        <v>45</v>
      </c>
      <c r="D15" s="4" t="s">
        <v>54</v>
      </c>
      <c r="E15" s="4" t="s">
        <v>55</v>
      </c>
      <c r="F15" s="8">
        <v>180.46</v>
      </c>
      <c r="G15" s="9" t="str">
        <f t="array" ref="G15:I15">XLOOKUP(C15,DimRopa[SKU],DimRopa[[Prenda]:[Costo_Fabricacion]])</f>
        <v>Camiseta Graphic Print</v>
      </c>
      <c r="H15" s="9" t="s">
        <v>47</v>
      </c>
      <c r="I15" s="10">
        <v>120.0</v>
      </c>
      <c r="J15" s="10">
        <f t="shared" si="1"/>
        <v>60.46</v>
      </c>
      <c r="K15" s="9" t="str">
        <f t="shared" si="2"/>
        <v>Regular</v>
      </c>
    </row>
    <row r="16">
      <c r="A16" s="4" t="s">
        <v>75</v>
      </c>
      <c r="B16" s="4" t="s">
        <v>74</v>
      </c>
      <c r="C16" s="4" t="s">
        <v>42</v>
      </c>
      <c r="D16" s="4" t="s">
        <v>54</v>
      </c>
      <c r="E16" s="4" t="s">
        <v>55</v>
      </c>
      <c r="F16" s="8">
        <v>859.2</v>
      </c>
      <c r="G16" s="9" t="str">
        <f t="array" ref="G16:I16">XLOOKUP(C16,DimRopa[SKU],DimRopa[[Prenda]:[Costo_Fabricacion]])</f>
        <v>Sneakers Chunky White</v>
      </c>
      <c r="H16" s="9" t="s">
        <v>44</v>
      </c>
      <c r="I16" s="10">
        <v>450.0</v>
      </c>
      <c r="J16" s="10">
        <f t="shared" si="1"/>
        <v>409.2</v>
      </c>
      <c r="K16" s="9" t="str">
        <f t="shared" si="2"/>
        <v>Alta</v>
      </c>
    </row>
    <row r="17">
      <c r="A17" s="4" t="s">
        <v>76</v>
      </c>
      <c r="B17" s="4" t="s">
        <v>74</v>
      </c>
      <c r="C17" s="4" t="s">
        <v>20</v>
      </c>
      <c r="D17" s="4" t="s">
        <v>58</v>
      </c>
      <c r="E17" s="4" t="s">
        <v>38</v>
      </c>
      <c r="F17" s="8">
        <v>534.49</v>
      </c>
      <c r="G17" s="9" t="str">
        <f t="array" ref="G17:I17">XLOOKUP(C17,DimRopa[SKU],DimRopa[[Prenda]:[Costo_Fabricacion]])</f>
        <v>Jeans Baggy Light Indigo</v>
      </c>
      <c r="H17" s="9" t="s">
        <v>25</v>
      </c>
      <c r="I17" s="10">
        <v>350.0</v>
      </c>
      <c r="J17" s="10">
        <f t="shared" si="1"/>
        <v>184.49</v>
      </c>
      <c r="K17" s="9" t="str">
        <f t="shared" si="2"/>
        <v>Regular</v>
      </c>
    </row>
    <row r="18">
      <c r="A18" s="4" t="s">
        <v>77</v>
      </c>
      <c r="B18" s="4" t="s">
        <v>74</v>
      </c>
      <c r="C18" s="4" t="s">
        <v>42</v>
      </c>
      <c r="D18" s="4" t="s">
        <v>58</v>
      </c>
      <c r="E18" s="4" t="s">
        <v>59</v>
      </c>
      <c r="F18" s="8">
        <v>854.79</v>
      </c>
      <c r="G18" s="9" t="str">
        <f t="array" ref="G18:I18">XLOOKUP(C18,DimRopa[SKU],DimRopa[[Prenda]:[Costo_Fabricacion]])</f>
        <v>Sneakers Chunky White</v>
      </c>
      <c r="H18" s="9" t="s">
        <v>44</v>
      </c>
      <c r="I18" s="10">
        <v>450.0</v>
      </c>
      <c r="J18" s="10">
        <f t="shared" si="1"/>
        <v>404.79</v>
      </c>
      <c r="K18" s="9" t="str">
        <f t="shared" si="2"/>
        <v>Alta</v>
      </c>
    </row>
    <row r="19">
      <c r="A19" s="4" t="s">
        <v>78</v>
      </c>
      <c r="B19" s="4" t="s">
        <v>74</v>
      </c>
      <c r="C19" s="4" t="s">
        <v>48</v>
      </c>
      <c r="D19" s="4" t="s">
        <v>58</v>
      </c>
      <c r="E19" s="4" t="s">
        <v>55</v>
      </c>
      <c r="F19" s="8">
        <v>746.63</v>
      </c>
      <c r="G19" s="9" t="str">
        <f t="array" ref="G19:I19">XLOOKUP(C19,DimRopa[SKU],DimRopa[[Prenda]:[Costo_Fabricacion]])</f>
        <v>Cargo Pants Olive</v>
      </c>
      <c r="H19" s="9" t="s">
        <v>25</v>
      </c>
      <c r="I19" s="10">
        <v>380.0</v>
      </c>
      <c r="J19" s="10">
        <f t="shared" si="1"/>
        <v>366.63</v>
      </c>
      <c r="K19" s="9" t="str">
        <f t="shared" si="2"/>
        <v>Alta</v>
      </c>
    </row>
    <row r="20">
      <c r="A20" s="4" t="s">
        <v>79</v>
      </c>
      <c r="B20" s="4" t="s">
        <v>74</v>
      </c>
      <c r="C20" s="4" t="s">
        <v>50</v>
      </c>
      <c r="D20" s="4" t="s">
        <v>71</v>
      </c>
      <c r="E20" s="4" t="s">
        <v>55</v>
      </c>
      <c r="F20" s="8">
        <v>158.26</v>
      </c>
      <c r="G20" s="9" t="str">
        <f t="array" ref="G20:I20">XLOOKUP(C20,DimRopa[SKU],DimRopa[[Prenda]:[Costo_Fabricacion]])</f>
        <v>Beanie Beis</v>
      </c>
      <c r="H20" s="9" t="s">
        <v>52</v>
      </c>
      <c r="I20" s="10">
        <v>80.0</v>
      </c>
      <c r="J20" s="10">
        <f t="shared" si="1"/>
        <v>78.26</v>
      </c>
      <c r="K20" s="9" t="str">
        <f t="shared" si="2"/>
        <v>Regular</v>
      </c>
    </row>
    <row r="21" ht="15.75" customHeight="1">
      <c r="A21" s="4" t="s">
        <v>80</v>
      </c>
      <c r="B21" s="4" t="s">
        <v>74</v>
      </c>
      <c r="C21" s="4" t="s">
        <v>42</v>
      </c>
      <c r="D21" s="4" t="s">
        <v>81</v>
      </c>
      <c r="E21" s="4" t="s">
        <v>59</v>
      </c>
      <c r="F21" s="8">
        <v>762.32</v>
      </c>
      <c r="G21" s="9" t="str">
        <f t="array" ref="G21:I21">XLOOKUP(C21,DimRopa[SKU],DimRopa[[Prenda]:[Costo_Fabricacion]])</f>
        <v>Sneakers Chunky White</v>
      </c>
      <c r="H21" s="9" t="s">
        <v>44</v>
      </c>
      <c r="I21" s="10">
        <v>450.0</v>
      </c>
      <c r="J21" s="10">
        <f t="shared" si="1"/>
        <v>312.32</v>
      </c>
      <c r="K21" s="9" t="str">
        <f t="shared" si="2"/>
        <v>Alta</v>
      </c>
    </row>
    <row r="22" ht="15.75" customHeight="1">
      <c r="A22" s="4" t="s">
        <v>82</v>
      </c>
      <c r="B22" s="4" t="s">
        <v>74</v>
      </c>
      <c r="C22" s="4" t="s">
        <v>39</v>
      </c>
      <c r="D22" s="4" t="s">
        <v>81</v>
      </c>
      <c r="E22" s="4" t="s">
        <v>59</v>
      </c>
      <c r="F22" s="8">
        <v>394.59</v>
      </c>
      <c r="G22" s="9" t="str">
        <f t="array" ref="G22:I22">XLOOKUP(C22,DimRopa[SKU],DimRopa[[Prenda]:[Costo_Fabricacion]])</f>
        <v>Hoodie Oversize Black</v>
      </c>
      <c r="H22" s="9" t="s">
        <v>41</v>
      </c>
      <c r="I22" s="10">
        <v>280.0</v>
      </c>
      <c r="J22" s="10">
        <f t="shared" si="1"/>
        <v>114.59</v>
      </c>
      <c r="K22" s="9" t="str">
        <f t="shared" si="2"/>
        <v>Regular</v>
      </c>
    </row>
    <row r="23" ht="15.75" customHeight="1">
      <c r="A23" s="4" t="s">
        <v>83</v>
      </c>
      <c r="B23" s="4" t="s">
        <v>84</v>
      </c>
      <c r="C23" s="4" t="s">
        <v>20</v>
      </c>
      <c r="D23" s="4" t="s">
        <v>54</v>
      </c>
      <c r="E23" s="4" t="s">
        <v>55</v>
      </c>
      <c r="F23" s="8">
        <v>650.56</v>
      </c>
      <c r="G23" s="9" t="str">
        <f t="array" ref="G23:I23">XLOOKUP(C23,DimRopa[SKU],DimRopa[[Prenda]:[Costo_Fabricacion]])</f>
        <v>Jeans Baggy Light Indigo</v>
      </c>
      <c r="H23" s="9" t="s">
        <v>25</v>
      </c>
      <c r="I23" s="10">
        <v>350.0</v>
      </c>
      <c r="J23" s="10">
        <f t="shared" si="1"/>
        <v>300.56</v>
      </c>
      <c r="K23" s="9" t="str">
        <f t="shared" si="2"/>
        <v>Alta</v>
      </c>
    </row>
    <row r="24" ht="15.75" customHeight="1">
      <c r="A24" s="4" t="s">
        <v>85</v>
      </c>
      <c r="B24" s="4" t="s">
        <v>84</v>
      </c>
      <c r="C24" s="4" t="s">
        <v>48</v>
      </c>
      <c r="D24" s="4" t="s">
        <v>58</v>
      </c>
      <c r="E24" s="4" t="s">
        <v>38</v>
      </c>
      <c r="F24" s="8">
        <v>560.8</v>
      </c>
      <c r="G24" s="9" t="str">
        <f t="array" ref="G24:I24">XLOOKUP(C24,DimRopa[SKU],DimRopa[[Prenda]:[Costo_Fabricacion]])</f>
        <v>Cargo Pants Olive</v>
      </c>
      <c r="H24" s="9" t="s">
        <v>25</v>
      </c>
      <c r="I24" s="10">
        <v>380.0</v>
      </c>
      <c r="J24" s="10">
        <f t="shared" si="1"/>
        <v>180.8</v>
      </c>
      <c r="K24" s="9" t="str">
        <f t="shared" si="2"/>
        <v>Regular</v>
      </c>
    </row>
    <row r="25" ht="15.75" customHeight="1">
      <c r="A25" s="4" t="s">
        <v>86</v>
      </c>
      <c r="B25" s="4" t="s">
        <v>84</v>
      </c>
      <c r="C25" s="4" t="s">
        <v>50</v>
      </c>
      <c r="D25" s="4" t="s">
        <v>71</v>
      </c>
      <c r="E25" s="4" t="s">
        <v>38</v>
      </c>
      <c r="F25" s="8">
        <v>158.32</v>
      </c>
      <c r="G25" s="9" t="str">
        <f t="array" ref="G25:I25">XLOOKUP(C25,DimRopa[SKU],DimRopa[[Prenda]:[Costo_Fabricacion]])</f>
        <v>Beanie Beis</v>
      </c>
      <c r="H25" s="9" t="s">
        <v>52</v>
      </c>
      <c r="I25" s="10">
        <v>80.0</v>
      </c>
      <c r="J25" s="10">
        <f t="shared" si="1"/>
        <v>78.32</v>
      </c>
      <c r="K25" s="9" t="str">
        <f t="shared" si="2"/>
        <v>Regular</v>
      </c>
    </row>
    <row r="26" ht="15.75" customHeight="1">
      <c r="A26" s="4" t="s">
        <v>87</v>
      </c>
      <c r="B26" s="4" t="s">
        <v>84</v>
      </c>
      <c r="C26" s="4" t="s">
        <v>20</v>
      </c>
      <c r="D26" s="4" t="s">
        <v>54</v>
      </c>
      <c r="E26" s="4" t="s">
        <v>55</v>
      </c>
      <c r="F26" s="8">
        <v>555.82</v>
      </c>
      <c r="G26" s="9" t="str">
        <f t="array" ref="G26:I26">XLOOKUP(C26,DimRopa[SKU],DimRopa[[Prenda]:[Costo_Fabricacion]])</f>
        <v>Jeans Baggy Light Indigo</v>
      </c>
      <c r="H26" s="9" t="s">
        <v>25</v>
      </c>
      <c r="I26" s="10">
        <v>350.0</v>
      </c>
      <c r="J26" s="10">
        <f t="shared" si="1"/>
        <v>205.82</v>
      </c>
      <c r="K26" s="9" t="str">
        <f t="shared" si="2"/>
        <v>Regular</v>
      </c>
    </row>
    <row r="27" ht="15.75" customHeight="1">
      <c r="A27" s="4" t="s">
        <v>88</v>
      </c>
      <c r="B27" s="4" t="s">
        <v>84</v>
      </c>
      <c r="C27" s="4" t="s">
        <v>42</v>
      </c>
      <c r="D27" s="4" t="s">
        <v>37</v>
      </c>
      <c r="E27" s="4" t="s">
        <v>38</v>
      </c>
      <c r="F27" s="8">
        <v>881.19</v>
      </c>
      <c r="G27" s="9" t="str">
        <f t="array" ref="G27:I27">XLOOKUP(C27,DimRopa[SKU],DimRopa[[Prenda]:[Costo_Fabricacion]])</f>
        <v>Sneakers Chunky White</v>
      </c>
      <c r="H27" s="9" t="s">
        <v>44</v>
      </c>
      <c r="I27" s="10">
        <v>450.0</v>
      </c>
      <c r="J27" s="10">
        <f t="shared" si="1"/>
        <v>431.19</v>
      </c>
      <c r="K27" s="9" t="str">
        <f t="shared" si="2"/>
        <v>Alta</v>
      </c>
    </row>
    <row r="28" ht="15.75" customHeight="1">
      <c r="A28" s="4" t="s">
        <v>89</v>
      </c>
      <c r="B28" s="4" t="s">
        <v>84</v>
      </c>
      <c r="C28" s="4" t="s">
        <v>42</v>
      </c>
      <c r="D28" s="4" t="s">
        <v>58</v>
      </c>
      <c r="E28" s="4" t="s">
        <v>59</v>
      </c>
      <c r="F28" s="8">
        <v>638.63</v>
      </c>
      <c r="G28" s="9" t="str">
        <f t="array" ref="G28:I28">XLOOKUP(C28,DimRopa[SKU],DimRopa[[Prenda]:[Costo_Fabricacion]])</f>
        <v>Sneakers Chunky White</v>
      </c>
      <c r="H28" s="9" t="s">
        <v>44</v>
      </c>
      <c r="I28" s="10">
        <v>450.0</v>
      </c>
      <c r="J28" s="10">
        <f t="shared" si="1"/>
        <v>188.63</v>
      </c>
      <c r="K28" s="9" t="str">
        <f t="shared" si="2"/>
        <v>Regular</v>
      </c>
    </row>
    <row r="29" ht="15.75" customHeight="1">
      <c r="A29" s="4" t="s">
        <v>90</v>
      </c>
      <c r="B29" s="4" t="s">
        <v>84</v>
      </c>
      <c r="C29" s="4" t="s">
        <v>48</v>
      </c>
      <c r="D29" s="4" t="s">
        <v>58</v>
      </c>
      <c r="E29" s="4" t="s">
        <v>59</v>
      </c>
      <c r="F29" s="8">
        <v>724.44</v>
      </c>
      <c r="G29" s="9" t="str">
        <f t="array" ref="G29:I29">XLOOKUP(C29,DimRopa[SKU],DimRopa[[Prenda]:[Costo_Fabricacion]])</f>
        <v>Cargo Pants Olive</v>
      </c>
      <c r="H29" s="9" t="s">
        <v>25</v>
      </c>
      <c r="I29" s="10">
        <v>380.0</v>
      </c>
      <c r="J29" s="10">
        <f t="shared" si="1"/>
        <v>344.44</v>
      </c>
      <c r="K29" s="9" t="str">
        <f t="shared" si="2"/>
        <v>Alta</v>
      </c>
    </row>
    <row r="30" ht="15.75" customHeight="1">
      <c r="A30" s="4" t="s">
        <v>91</v>
      </c>
      <c r="B30" s="4" t="s">
        <v>92</v>
      </c>
      <c r="C30" s="4" t="s">
        <v>42</v>
      </c>
      <c r="D30" s="4" t="s">
        <v>54</v>
      </c>
      <c r="E30" s="4" t="s">
        <v>38</v>
      </c>
      <c r="F30" s="8">
        <v>853.08</v>
      </c>
      <c r="G30" s="9" t="str">
        <f t="array" ref="G30:I30">XLOOKUP(C30,DimRopa[SKU],DimRopa[[Prenda]:[Costo_Fabricacion]])</f>
        <v>Sneakers Chunky White</v>
      </c>
      <c r="H30" s="9" t="s">
        <v>44</v>
      </c>
      <c r="I30" s="10">
        <v>450.0</v>
      </c>
      <c r="J30" s="10">
        <f t="shared" si="1"/>
        <v>403.08</v>
      </c>
      <c r="K30" s="9" t="str">
        <f t="shared" si="2"/>
        <v>Alta</v>
      </c>
    </row>
    <row r="31" ht="15.75" customHeight="1">
      <c r="A31" s="4" t="s">
        <v>93</v>
      </c>
      <c r="B31" s="4" t="s">
        <v>92</v>
      </c>
      <c r="C31" s="4" t="s">
        <v>20</v>
      </c>
      <c r="D31" s="4" t="s">
        <v>54</v>
      </c>
      <c r="E31" s="4" t="s">
        <v>59</v>
      </c>
      <c r="F31" s="8">
        <v>654.94</v>
      </c>
      <c r="G31" s="9" t="str">
        <f t="array" ref="G31:I31">XLOOKUP(C31,DimRopa[SKU],DimRopa[[Prenda]:[Costo_Fabricacion]])</f>
        <v>Jeans Baggy Light Indigo</v>
      </c>
      <c r="H31" s="9" t="s">
        <v>25</v>
      </c>
      <c r="I31" s="10">
        <v>350.0</v>
      </c>
      <c r="J31" s="10">
        <f t="shared" si="1"/>
        <v>304.94</v>
      </c>
      <c r="K31" s="9" t="str">
        <f t="shared" si="2"/>
        <v>Alta</v>
      </c>
    </row>
    <row r="32" ht="15.75" customHeight="1">
      <c r="A32" s="4" t="s">
        <v>94</v>
      </c>
      <c r="B32" s="4" t="s">
        <v>92</v>
      </c>
      <c r="C32" s="4" t="s">
        <v>33</v>
      </c>
      <c r="D32" s="4" t="s">
        <v>37</v>
      </c>
      <c r="E32" s="4" t="s">
        <v>55</v>
      </c>
      <c r="F32" s="8">
        <v>1288.33</v>
      </c>
      <c r="G32" s="9" t="str">
        <f t="array" ref="G32:I32">XLOOKUP(C32,DimRopa[SKU],DimRopa[[Prenda]:[Costo_Fabricacion]])</f>
        <v>Chaqueta Double-Faced</v>
      </c>
      <c r="H32" s="9" t="s">
        <v>36</v>
      </c>
      <c r="I32" s="10">
        <v>650.0</v>
      </c>
      <c r="J32" s="10">
        <f t="shared" si="1"/>
        <v>638.33</v>
      </c>
      <c r="K32" s="9" t="str">
        <f t="shared" si="2"/>
        <v>Alta</v>
      </c>
    </row>
    <row r="33" ht="15.75" customHeight="1">
      <c r="A33" s="4" t="s">
        <v>95</v>
      </c>
      <c r="B33" s="4" t="s">
        <v>92</v>
      </c>
      <c r="C33" s="4" t="s">
        <v>33</v>
      </c>
      <c r="D33" s="4" t="s">
        <v>58</v>
      </c>
      <c r="E33" s="4" t="s">
        <v>38</v>
      </c>
      <c r="F33" s="8">
        <v>1206.08</v>
      </c>
      <c r="G33" s="9" t="str">
        <f t="array" ref="G33:I33">XLOOKUP(C33,DimRopa[SKU],DimRopa[[Prenda]:[Costo_Fabricacion]])</f>
        <v>Chaqueta Double-Faced</v>
      </c>
      <c r="H33" s="9" t="s">
        <v>36</v>
      </c>
      <c r="I33" s="10">
        <v>650.0</v>
      </c>
      <c r="J33" s="10">
        <f t="shared" si="1"/>
        <v>556.08</v>
      </c>
      <c r="K33" s="9" t="str">
        <f t="shared" si="2"/>
        <v>Alta</v>
      </c>
    </row>
    <row r="34" ht="15.75" customHeight="1">
      <c r="A34" s="4" t="s">
        <v>96</v>
      </c>
      <c r="B34" s="4" t="s">
        <v>92</v>
      </c>
      <c r="C34" s="4" t="s">
        <v>50</v>
      </c>
      <c r="D34" s="4" t="s">
        <v>71</v>
      </c>
      <c r="E34" s="4" t="s">
        <v>38</v>
      </c>
      <c r="F34" s="8">
        <v>156.32</v>
      </c>
      <c r="G34" s="9" t="str">
        <f t="array" ref="G34:I34">XLOOKUP(C34,DimRopa[SKU],DimRopa[[Prenda]:[Costo_Fabricacion]])</f>
        <v>Beanie Beis</v>
      </c>
      <c r="H34" s="9" t="s">
        <v>52</v>
      </c>
      <c r="I34" s="10">
        <v>80.0</v>
      </c>
      <c r="J34" s="10">
        <f t="shared" si="1"/>
        <v>76.32</v>
      </c>
      <c r="K34" s="9" t="str">
        <f t="shared" si="2"/>
        <v>Regular</v>
      </c>
    </row>
    <row r="35" ht="15.75" customHeight="1">
      <c r="A35" s="4" t="s">
        <v>97</v>
      </c>
      <c r="B35" s="4" t="s">
        <v>92</v>
      </c>
      <c r="C35" s="4" t="s">
        <v>20</v>
      </c>
      <c r="D35" s="4" t="s">
        <v>58</v>
      </c>
      <c r="E35" s="4" t="s">
        <v>59</v>
      </c>
      <c r="F35" s="8">
        <v>573.12</v>
      </c>
      <c r="G35" s="9" t="str">
        <f t="array" ref="G35:I35">XLOOKUP(C35,DimRopa[SKU],DimRopa[[Prenda]:[Costo_Fabricacion]])</f>
        <v>Jeans Baggy Light Indigo</v>
      </c>
      <c r="H35" s="9" t="s">
        <v>25</v>
      </c>
      <c r="I35" s="10">
        <v>350.0</v>
      </c>
      <c r="J35" s="10">
        <f t="shared" si="1"/>
        <v>223.12</v>
      </c>
      <c r="K35" s="9" t="str">
        <f t="shared" si="2"/>
        <v>Regular</v>
      </c>
    </row>
    <row r="36" ht="15.75" customHeight="1">
      <c r="A36" s="4" t="s">
        <v>98</v>
      </c>
      <c r="B36" s="4" t="s">
        <v>92</v>
      </c>
      <c r="C36" s="4" t="s">
        <v>42</v>
      </c>
      <c r="D36" s="4" t="s">
        <v>54</v>
      </c>
      <c r="E36" s="4" t="s">
        <v>38</v>
      </c>
      <c r="F36" s="8">
        <v>752.15</v>
      </c>
      <c r="G36" s="9" t="str">
        <f t="array" ref="G36:I36">XLOOKUP(C36,DimRopa[SKU],DimRopa[[Prenda]:[Costo_Fabricacion]])</f>
        <v>Sneakers Chunky White</v>
      </c>
      <c r="H36" s="9" t="s">
        <v>44</v>
      </c>
      <c r="I36" s="10">
        <v>450.0</v>
      </c>
      <c r="J36" s="10">
        <f t="shared" si="1"/>
        <v>302.15</v>
      </c>
      <c r="K36" s="9" t="str">
        <f t="shared" si="2"/>
        <v>Alta</v>
      </c>
    </row>
    <row r="37" ht="15.75" customHeight="1">
      <c r="A37" s="4" t="s">
        <v>99</v>
      </c>
      <c r="B37" s="4" t="s">
        <v>92</v>
      </c>
      <c r="C37" s="4" t="s">
        <v>42</v>
      </c>
      <c r="D37" s="4" t="s">
        <v>37</v>
      </c>
      <c r="E37" s="4" t="s">
        <v>38</v>
      </c>
      <c r="F37" s="8">
        <v>740.67</v>
      </c>
      <c r="G37" s="9" t="str">
        <f t="array" ref="G37:I37">XLOOKUP(C37,DimRopa[SKU],DimRopa[[Prenda]:[Costo_Fabricacion]])</f>
        <v>Sneakers Chunky White</v>
      </c>
      <c r="H37" s="9" t="s">
        <v>44</v>
      </c>
      <c r="I37" s="10">
        <v>450.0</v>
      </c>
      <c r="J37" s="10">
        <f t="shared" si="1"/>
        <v>290.67</v>
      </c>
      <c r="K37" s="9" t="str">
        <f t="shared" si="2"/>
        <v>Alta</v>
      </c>
    </row>
    <row r="38" ht="15.75" customHeight="1">
      <c r="A38" s="4" t="s">
        <v>100</v>
      </c>
      <c r="B38" s="4" t="s">
        <v>92</v>
      </c>
      <c r="C38" s="4" t="s">
        <v>50</v>
      </c>
      <c r="D38" s="4" t="s">
        <v>71</v>
      </c>
      <c r="E38" s="4" t="s">
        <v>38</v>
      </c>
      <c r="F38" s="8">
        <v>136.01</v>
      </c>
      <c r="G38" s="9" t="str">
        <f t="array" ref="G38:I38">XLOOKUP(C38,DimRopa[SKU],DimRopa[[Prenda]:[Costo_Fabricacion]])</f>
        <v>Beanie Beis</v>
      </c>
      <c r="H38" s="9" t="s">
        <v>52</v>
      </c>
      <c r="I38" s="10">
        <v>80.0</v>
      </c>
      <c r="J38" s="10">
        <f t="shared" si="1"/>
        <v>56.01</v>
      </c>
      <c r="K38" s="9" t="str">
        <f t="shared" si="2"/>
        <v>Regular</v>
      </c>
    </row>
    <row r="39" ht="15.75" customHeight="1">
      <c r="A39" s="4" t="s">
        <v>101</v>
      </c>
      <c r="B39" s="4" t="s">
        <v>92</v>
      </c>
      <c r="C39" s="4" t="s">
        <v>42</v>
      </c>
      <c r="D39" s="4" t="s">
        <v>58</v>
      </c>
      <c r="E39" s="4" t="s">
        <v>55</v>
      </c>
      <c r="F39" s="8">
        <v>719.02</v>
      </c>
      <c r="G39" s="9" t="str">
        <f t="array" ref="G39:I39">XLOOKUP(C39,DimRopa[SKU],DimRopa[[Prenda]:[Costo_Fabricacion]])</f>
        <v>Sneakers Chunky White</v>
      </c>
      <c r="H39" s="9" t="s">
        <v>44</v>
      </c>
      <c r="I39" s="10">
        <v>450.0</v>
      </c>
      <c r="J39" s="10">
        <f t="shared" si="1"/>
        <v>269.02</v>
      </c>
      <c r="K39" s="9" t="str">
        <f t="shared" si="2"/>
        <v>Alta</v>
      </c>
    </row>
    <row r="40" ht="15.75" customHeight="1">
      <c r="A40" s="4" t="s">
        <v>102</v>
      </c>
      <c r="B40" s="4" t="s">
        <v>103</v>
      </c>
      <c r="C40" s="4" t="s">
        <v>33</v>
      </c>
      <c r="D40" s="4" t="s">
        <v>58</v>
      </c>
      <c r="E40" s="4" t="s">
        <v>38</v>
      </c>
      <c r="F40" s="8">
        <v>919.09</v>
      </c>
      <c r="G40" s="9" t="str">
        <f t="array" ref="G40:I40">XLOOKUP(C40,DimRopa[SKU],DimRopa[[Prenda]:[Costo_Fabricacion]])</f>
        <v>Chaqueta Double-Faced</v>
      </c>
      <c r="H40" s="9" t="s">
        <v>36</v>
      </c>
      <c r="I40" s="10">
        <v>650.0</v>
      </c>
      <c r="J40" s="10">
        <f t="shared" si="1"/>
        <v>269.09</v>
      </c>
      <c r="K40" s="9" t="str">
        <f t="shared" si="2"/>
        <v>Alta</v>
      </c>
    </row>
    <row r="41" ht="15.75" customHeight="1">
      <c r="A41" s="4" t="s">
        <v>104</v>
      </c>
      <c r="B41" s="4" t="s">
        <v>103</v>
      </c>
      <c r="C41" s="4" t="s">
        <v>45</v>
      </c>
      <c r="D41" s="4" t="s">
        <v>54</v>
      </c>
      <c r="E41" s="4" t="s">
        <v>38</v>
      </c>
      <c r="F41" s="8">
        <v>187.7</v>
      </c>
      <c r="G41" s="9" t="str">
        <f t="array" ref="G41:I41">XLOOKUP(C41,DimRopa[SKU],DimRopa[[Prenda]:[Costo_Fabricacion]])</f>
        <v>Camiseta Graphic Print</v>
      </c>
      <c r="H41" s="9" t="s">
        <v>47</v>
      </c>
      <c r="I41" s="10">
        <v>120.0</v>
      </c>
      <c r="J41" s="10">
        <f t="shared" si="1"/>
        <v>67.7</v>
      </c>
      <c r="K41" s="9" t="str">
        <f t="shared" si="2"/>
        <v>Regular</v>
      </c>
    </row>
    <row r="42" ht="15.75" customHeight="1">
      <c r="A42" s="4" t="s">
        <v>105</v>
      </c>
      <c r="B42" s="4" t="s">
        <v>103</v>
      </c>
      <c r="C42" s="4" t="s">
        <v>42</v>
      </c>
      <c r="D42" s="4" t="s">
        <v>54</v>
      </c>
      <c r="E42" s="4" t="s">
        <v>59</v>
      </c>
      <c r="F42" s="8">
        <v>728.6</v>
      </c>
      <c r="G42" s="9" t="str">
        <f t="array" ref="G42:I42">XLOOKUP(C42,DimRopa[SKU],DimRopa[[Prenda]:[Costo_Fabricacion]])</f>
        <v>Sneakers Chunky White</v>
      </c>
      <c r="H42" s="9" t="s">
        <v>44</v>
      </c>
      <c r="I42" s="10">
        <v>450.0</v>
      </c>
      <c r="J42" s="10">
        <f t="shared" si="1"/>
        <v>278.6</v>
      </c>
      <c r="K42" s="9" t="str">
        <f t="shared" si="2"/>
        <v>Alta</v>
      </c>
    </row>
    <row r="43" ht="15.75" customHeight="1">
      <c r="A43" s="4" t="s">
        <v>106</v>
      </c>
      <c r="B43" s="4" t="s">
        <v>103</v>
      </c>
      <c r="C43" s="4" t="s">
        <v>20</v>
      </c>
      <c r="D43" s="4" t="s">
        <v>54</v>
      </c>
      <c r="E43" s="4" t="s">
        <v>38</v>
      </c>
      <c r="F43" s="8">
        <v>526.31</v>
      </c>
      <c r="G43" s="9" t="str">
        <f t="array" ref="G43:I43">XLOOKUP(C43,DimRopa[SKU],DimRopa[[Prenda]:[Costo_Fabricacion]])</f>
        <v>Jeans Baggy Light Indigo</v>
      </c>
      <c r="H43" s="9" t="s">
        <v>25</v>
      </c>
      <c r="I43" s="10">
        <v>350.0</v>
      </c>
      <c r="J43" s="10">
        <f t="shared" si="1"/>
        <v>176.31</v>
      </c>
      <c r="K43" s="9" t="str">
        <f t="shared" si="2"/>
        <v>Regular</v>
      </c>
    </row>
    <row r="44" ht="15.75" customHeight="1">
      <c r="A44" s="4" t="s">
        <v>107</v>
      </c>
      <c r="B44" s="4" t="s">
        <v>103</v>
      </c>
      <c r="C44" s="4" t="s">
        <v>27</v>
      </c>
      <c r="D44" s="4" t="s">
        <v>81</v>
      </c>
      <c r="E44" s="4" t="s">
        <v>55</v>
      </c>
      <c r="F44" s="8">
        <v>530.32</v>
      </c>
      <c r="G44" s="9" t="str">
        <f t="array" ref="G44:I44">XLOOKUP(C44,DimRopa[SKU],DimRopa[[Prenda]:[Costo_Fabricacion]])</f>
        <v>Jeans Relaxed Fit Dark</v>
      </c>
      <c r="H44" s="9" t="s">
        <v>25</v>
      </c>
      <c r="I44" s="10">
        <v>320.0</v>
      </c>
      <c r="J44" s="10">
        <f t="shared" si="1"/>
        <v>210.32</v>
      </c>
      <c r="K44" s="9" t="str">
        <f t="shared" si="2"/>
        <v>Regular</v>
      </c>
    </row>
    <row r="45" ht="15.75" customHeight="1">
      <c r="A45" s="4" t="s">
        <v>108</v>
      </c>
      <c r="B45" s="4" t="s">
        <v>103</v>
      </c>
      <c r="C45" s="4" t="s">
        <v>42</v>
      </c>
      <c r="D45" s="4" t="s">
        <v>54</v>
      </c>
      <c r="E45" s="4" t="s">
        <v>38</v>
      </c>
      <c r="F45" s="8">
        <v>631.63</v>
      </c>
      <c r="G45" s="9" t="str">
        <f t="array" ref="G45:I45">XLOOKUP(C45,DimRopa[SKU],DimRopa[[Prenda]:[Costo_Fabricacion]])</f>
        <v>Sneakers Chunky White</v>
      </c>
      <c r="H45" s="9" t="s">
        <v>44</v>
      </c>
      <c r="I45" s="10">
        <v>450.0</v>
      </c>
      <c r="J45" s="10">
        <f t="shared" si="1"/>
        <v>181.63</v>
      </c>
      <c r="K45" s="9" t="str">
        <f t="shared" si="2"/>
        <v>Regular</v>
      </c>
    </row>
    <row r="46" ht="15.75" customHeight="1">
      <c r="A46" s="4" t="s">
        <v>109</v>
      </c>
      <c r="B46" s="4" t="s">
        <v>110</v>
      </c>
      <c r="C46" s="4" t="s">
        <v>45</v>
      </c>
      <c r="D46" s="4" t="s">
        <v>58</v>
      </c>
      <c r="E46" s="4" t="s">
        <v>38</v>
      </c>
      <c r="F46" s="8">
        <v>192.81</v>
      </c>
      <c r="G46" s="9" t="str">
        <f t="array" ref="G46:I46">XLOOKUP(C46,DimRopa[SKU],DimRopa[[Prenda]:[Costo_Fabricacion]])</f>
        <v>Camiseta Graphic Print</v>
      </c>
      <c r="H46" s="9" t="s">
        <v>47</v>
      </c>
      <c r="I46" s="10">
        <v>120.0</v>
      </c>
      <c r="J46" s="10">
        <f t="shared" si="1"/>
        <v>72.81</v>
      </c>
      <c r="K46" s="9" t="str">
        <f t="shared" si="2"/>
        <v>Regular</v>
      </c>
    </row>
    <row r="47" ht="15.75" customHeight="1">
      <c r="A47" s="4" t="s">
        <v>111</v>
      </c>
      <c r="B47" s="4" t="s">
        <v>110</v>
      </c>
      <c r="C47" s="4" t="s">
        <v>27</v>
      </c>
      <c r="D47" s="4" t="s">
        <v>81</v>
      </c>
      <c r="E47" s="4" t="s">
        <v>59</v>
      </c>
      <c r="F47" s="8">
        <v>486.72</v>
      </c>
      <c r="G47" s="9" t="str">
        <f t="array" ref="G47:I47">XLOOKUP(C47,DimRopa[SKU],DimRopa[[Prenda]:[Costo_Fabricacion]])</f>
        <v>Jeans Relaxed Fit Dark</v>
      </c>
      <c r="H47" s="9" t="s">
        <v>25</v>
      </c>
      <c r="I47" s="10">
        <v>320.0</v>
      </c>
      <c r="J47" s="10">
        <f t="shared" si="1"/>
        <v>166.72</v>
      </c>
      <c r="K47" s="9" t="str">
        <f t="shared" si="2"/>
        <v>Regular</v>
      </c>
    </row>
    <row r="48" ht="15.75" customHeight="1">
      <c r="A48" s="4" t="s">
        <v>112</v>
      </c>
      <c r="B48" s="4" t="s">
        <v>110</v>
      </c>
      <c r="C48" s="4" t="s">
        <v>39</v>
      </c>
      <c r="D48" s="4" t="s">
        <v>58</v>
      </c>
      <c r="E48" s="4" t="s">
        <v>38</v>
      </c>
      <c r="F48" s="8">
        <v>559.55</v>
      </c>
      <c r="G48" s="9" t="str">
        <f t="array" ref="G48:I48">XLOOKUP(C48,DimRopa[SKU],DimRopa[[Prenda]:[Costo_Fabricacion]])</f>
        <v>Hoodie Oversize Black</v>
      </c>
      <c r="H48" s="9" t="s">
        <v>41</v>
      </c>
      <c r="I48" s="10">
        <v>280.0</v>
      </c>
      <c r="J48" s="10">
        <f t="shared" si="1"/>
        <v>279.55</v>
      </c>
      <c r="K48" s="9" t="str">
        <f t="shared" si="2"/>
        <v>Alta</v>
      </c>
    </row>
    <row r="49" ht="15.75" customHeight="1">
      <c r="A49" s="4" t="s">
        <v>113</v>
      </c>
      <c r="B49" s="4" t="s">
        <v>110</v>
      </c>
      <c r="C49" s="4" t="s">
        <v>27</v>
      </c>
      <c r="D49" s="4" t="s">
        <v>58</v>
      </c>
      <c r="E49" s="4" t="s">
        <v>38</v>
      </c>
      <c r="F49" s="8">
        <v>531.86</v>
      </c>
      <c r="G49" s="9" t="str">
        <f t="array" ref="G49:I49">XLOOKUP(C49,DimRopa[SKU],DimRopa[[Prenda]:[Costo_Fabricacion]])</f>
        <v>Jeans Relaxed Fit Dark</v>
      </c>
      <c r="H49" s="9" t="s">
        <v>25</v>
      </c>
      <c r="I49" s="10">
        <v>320.0</v>
      </c>
      <c r="J49" s="10">
        <f t="shared" si="1"/>
        <v>211.86</v>
      </c>
      <c r="K49" s="9" t="str">
        <f t="shared" si="2"/>
        <v>Regular</v>
      </c>
    </row>
    <row r="50" ht="15.75" customHeight="1">
      <c r="A50" s="4" t="s">
        <v>114</v>
      </c>
      <c r="B50" s="4" t="s">
        <v>110</v>
      </c>
      <c r="C50" s="4" t="s">
        <v>42</v>
      </c>
      <c r="D50" s="4" t="s">
        <v>81</v>
      </c>
      <c r="E50" s="4" t="s">
        <v>55</v>
      </c>
      <c r="F50" s="8">
        <v>766.52</v>
      </c>
      <c r="G50" s="9" t="str">
        <f t="array" ref="G50:I50">XLOOKUP(C50,DimRopa[SKU],DimRopa[[Prenda]:[Costo_Fabricacion]])</f>
        <v>Sneakers Chunky White</v>
      </c>
      <c r="H50" s="9" t="s">
        <v>44</v>
      </c>
      <c r="I50" s="10">
        <v>450.0</v>
      </c>
      <c r="J50" s="10">
        <f t="shared" si="1"/>
        <v>316.52</v>
      </c>
      <c r="K50" s="9" t="str">
        <f t="shared" si="2"/>
        <v>Alta</v>
      </c>
    </row>
    <row r="51" ht="15.75" customHeight="1">
      <c r="A51" s="4" t="s">
        <v>115</v>
      </c>
      <c r="B51" s="4" t="s">
        <v>110</v>
      </c>
      <c r="C51" s="4" t="s">
        <v>33</v>
      </c>
      <c r="D51" s="4" t="s">
        <v>81</v>
      </c>
      <c r="E51" s="4" t="s">
        <v>59</v>
      </c>
      <c r="F51" s="8">
        <v>979.81</v>
      </c>
      <c r="G51" s="9" t="str">
        <f t="array" ref="G51:I51">XLOOKUP(C51,DimRopa[SKU],DimRopa[[Prenda]:[Costo_Fabricacion]])</f>
        <v>Chaqueta Double-Faced</v>
      </c>
      <c r="H51" s="9" t="s">
        <v>36</v>
      </c>
      <c r="I51" s="10">
        <v>650.0</v>
      </c>
      <c r="J51" s="10">
        <f t="shared" si="1"/>
        <v>329.81</v>
      </c>
      <c r="K51" s="9" t="str">
        <f t="shared" si="2"/>
        <v>Alta</v>
      </c>
    </row>
    <row r="52" ht="15.75" customHeight="1">
      <c r="A52" s="4" t="s">
        <v>116</v>
      </c>
      <c r="B52" s="4" t="s">
        <v>110</v>
      </c>
      <c r="C52" s="4" t="s">
        <v>33</v>
      </c>
      <c r="D52" s="4" t="s">
        <v>81</v>
      </c>
      <c r="E52" s="4" t="s">
        <v>59</v>
      </c>
      <c r="F52" s="8">
        <v>1270.69</v>
      </c>
      <c r="G52" s="9" t="str">
        <f t="array" ref="G52:I52">XLOOKUP(C52,DimRopa[SKU],DimRopa[[Prenda]:[Costo_Fabricacion]])</f>
        <v>Chaqueta Double-Faced</v>
      </c>
      <c r="H52" s="9" t="s">
        <v>36</v>
      </c>
      <c r="I52" s="10">
        <v>650.0</v>
      </c>
      <c r="J52" s="10">
        <f t="shared" si="1"/>
        <v>620.69</v>
      </c>
      <c r="K52" s="9" t="str">
        <f t="shared" si="2"/>
        <v>Alta</v>
      </c>
    </row>
    <row r="53" ht="15.75" customHeight="1">
      <c r="A53" s="4" t="s">
        <v>117</v>
      </c>
      <c r="B53" s="4" t="s">
        <v>118</v>
      </c>
      <c r="C53" s="4" t="s">
        <v>50</v>
      </c>
      <c r="D53" s="4" t="s">
        <v>71</v>
      </c>
      <c r="E53" s="4" t="s">
        <v>59</v>
      </c>
      <c r="F53" s="8">
        <v>115.18</v>
      </c>
      <c r="G53" s="9" t="str">
        <f t="array" ref="G53:I53">XLOOKUP(C53,DimRopa[SKU],DimRopa[[Prenda]:[Costo_Fabricacion]])</f>
        <v>Beanie Beis</v>
      </c>
      <c r="H53" s="9" t="s">
        <v>52</v>
      </c>
      <c r="I53" s="10">
        <v>80.0</v>
      </c>
      <c r="J53" s="10">
        <f t="shared" si="1"/>
        <v>35.18</v>
      </c>
      <c r="K53" s="9" t="str">
        <f t="shared" si="2"/>
        <v>Regular</v>
      </c>
    </row>
    <row r="54" ht="15.75" customHeight="1">
      <c r="A54" s="4" t="s">
        <v>119</v>
      </c>
      <c r="B54" s="4" t="s">
        <v>118</v>
      </c>
      <c r="C54" s="4" t="s">
        <v>48</v>
      </c>
      <c r="D54" s="4" t="s">
        <v>54</v>
      </c>
      <c r="E54" s="4" t="s">
        <v>55</v>
      </c>
      <c r="F54" s="8">
        <v>703.34</v>
      </c>
      <c r="G54" s="9" t="str">
        <f t="array" ref="G54:I54">XLOOKUP(C54,DimRopa[SKU],DimRopa[[Prenda]:[Costo_Fabricacion]])</f>
        <v>Cargo Pants Olive</v>
      </c>
      <c r="H54" s="9" t="s">
        <v>25</v>
      </c>
      <c r="I54" s="10">
        <v>380.0</v>
      </c>
      <c r="J54" s="10">
        <f t="shared" si="1"/>
        <v>323.34</v>
      </c>
      <c r="K54" s="9" t="str">
        <f t="shared" si="2"/>
        <v>Alta</v>
      </c>
    </row>
    <row r="55" ht="15.75" customHeight="1">
      <c r="A55" s="4" t="s">
        <v>120</v>
      </c>
      <c r="B55" s="4" t="s">
        <v>118</v>
      </c>
      <c r="C55" s="4" t="s">
        <v>42</v>
      </c>
      <c r="D55" s="4" t="s">
        <v>54</v>
      </c>
      <c r="E55" s="4" t="s">
        <v>59</v>
      </c>
      <c r="F55" s="8">
        <v>657.67</v>
      </c>
      <c r="G55" s="9" t="str">
        <f t="array" ref="G55:I55">XLOOKUP(C55,DimRopa[SKU],DimRopa[[Prenda]:[Costo_Fabricacion]])</f>
        <v>Sneakers Chunky White</v>
      </c>
      <c r="H55" s="9" t="s">
        <v>44</v>
      </c>
      <c r="I55" s="10">
        <v>450.0</v>
      </c>
      <c r="J55" s="10">
        <f t="shared" si="1"/>
        <v>207.67</v>
      </c>
      <c r="K55" s="9" t="str">
        <f t="shared" si="2"/>
        <v>Regular</v>
      </c>
    </row>
    <row r="56" ht="15.75" customHeight="1">
      <c r="A56" s="4" t="s">
        <v>121</v>
      </c>
      <c r="B56" s="4" t="s">
        <v>118</v>
      </c>
      <c r="C56" s="4" t="s">
        <v>33</v>
      </c>
      <c r="D56" s="4" t="s">
        <v>58</v>
      </c>
      <c r="E56" s="4" t="s">
        <v>55</v>
      </c>
      <c r="F56" s="8">
        <v>1194.32</v>
      </c>
      <c r="G56" s="9" t="str">
        <f t="array" ref="G56:I56">XLOOKUP(C56,DimRopa[SKU],DimRopa[[Prenda]:[Costo_Fabricacion]])</f>
        <v>Chaqueta Double-Faced</v>
      </c>
      <c r="H56" s="9" t="s">
        <v>36</v>
      </c>
      <c r="I56" s="10">
        <v>650.0</v>
      </c>
      <c r="J56" s="10">
        <f t="shared" si="1"/>
        <v>544.32</v>
      </c>
      <c r="K56" s="9" t="str">
        <f t="shared" si="2"/>
        <v>Alta</v>
      </c>
    </row>
    <row r="57" ht="15.75" customHeight="1">
      <c r="A57" s="4" t="s">
        <v>122</v>
      </c>
      <c r="B57" s="4" t="s">
        <v>118</v>
      </c>
      <c r="C57" s="4" t="s">
        <v>27</v>
      </c>
      <c r="D57" s="4" t="s">
        <v>54</v>
      </c>
      <c r="E57" s="4" t="s">
        <v>55</v>
      </c>
      <c r="F57" s="8">
        <v>526.3</v>
      </c>
      <c r="G57" s="9" t="str">
        <f t="array" ref="G57:I57">XLOOKUP(C57,DimRopa[SKU],DimRopa[[Prenda]:[Costo_Fabricacion]])</f>
        <v>Jeans Relaxed Fit Dark</v>
      </c>
      <c r="H57" s="9" t="s">
        <v>25</v>
      </c>
      <c r="I57" s="10">
        <v>320.0</v>
      </c>
      <c r="J57" s="10">
        <f t="shared" si="1"/>
        <v>206.3</v>
      </c>
      <c r="K57" s="9" t="str">
        <f t="shared" si="2"/>
        <v>Regular</v>
      </c>
    </row>
    <row r="58" ht="15.75" customHeight="1">
      <c r="A58" s="4" t="s">
        <v>123</v>
      </c>
      <c r="B58" s="4" t="s">
        <v>118</v>
      </c>
      <c r="C58" s="4" t="s">
        <v>33</v>
      </c>
      <c r="D58" s="4" t="s">
        <v>54</v>
      </c>
      <c r="E58" s="4" t="s">
        <v>38</v>
      </c>
      <c r="F58" s="8">
        <v>1164.07</v>
      </c>
      <c r="G58" s="9" t="str">
        <f t="array" ref="G58:I58">XLOOKUP(C58,DimRopa[SKU],DimRopa[[Prenda]:[Costo_Fabricacion]])</f>
        <v>Chaqueta Double-Faced</v>
      </c>
      <c r="H58" s="9" t="s">
        <v>36</v>
      </c>
      <c r="I58" s="10">
        <v>650.0</v>
      </c>
      <c r="J58" s="10">
        <f t="shared" si="1"/>
        <v>514.07</v>
      </c>
      <c r="K58" s="9" t="str">
        <f t="shared" si="2"/>
        <v>Alta</v>
      </c>
    </row>
    <row r="59" ht="15.75" customHeight="1">
      <c r="A59" s="4" t="s">
        <v>124</v>
      </c>
      <c r="B59" s="4" t="s">
        <v>118</v>
      </c>
      <c r="C59" s="4" t="s">
        <v>42</v>
      </c>
      <c r="D59" s="4" t="s">
        <v>54</v>
      </c>
      <c r="E59" s="4" t="s">
        <v>59</v>
      </c>
      <c r="F59" s="8">
        <v>720.23</v>
      </c>
      <c r="G59" s="9" t="str">
        <f t="array" ref="G59:I59">XLOOKUP(C59,DimRopa[SKU],DimRopa[[Prenda]:[Costo_Fabricacion]])</f>
        <v>Sneakers Chunky White</v>
      </c>
      <c r="H59" s="9" t="s">
        <v>44</v>
      </c>
      <c r="I59" s="10">
        <v>450.0</v>
      </c>
      <c r="J59" s="10">
        <f t="shared" si="1"/>
        <v>270.23</v>
      </c>
      <c r="K59" s="9" t="str">
        <f t="shared" si="2"/>
        <v>Alta</v>
      </c>
    </row>
    <row r="60" ht="15.75" customHeight="1">
      <c r="A60" s="4" t="s">
        <v>125</v>
      </c>
      <c r="B60" s="4" t="s">
        <v>126</v>
      </c>
      <c r="C60" s="4" t="s">
        <v>27</v>
      </c>
      <c r="D60" s="4" t="s">
        <v>54</v>
      </c>
      <c r="E60" s="4" t="s">
        <v>59</v>
      </c>
      <c r="F60" s="8">
        <v>615.92</v>
      </c>
      <c r="G60" s="9" t="str">
        <f t="array" ref="G60:I60">XLOOKUP(C60,DimRopa[SKU],DimRopa[[Prenda]:[Costo_Fabricacion]])</f>
        <v>Jeans Relaxed Fit Dark</v>
      </c>
      <c r="H60" s="9" t="s">
        <v>25</v>
      </c>
      <c r="I60" s="10">
        <v>320.0</v>
      </c>
      <c r="J60" s="10">
        <f t="shared" si="1"/>
        <v>295.92</v>
      </c>
      <c r="K60" s="9" t="str">
        <f t="shared" si="2"/>
        <v>Alta</v>
      </c>
    </row>
    <row r="61" ht="15.75" customHeight="1">
      <c r="A61" s="4" t="s">
        <v>127</v>
      </c>
      <c r="B61" s="4" t="s">
        <v>126</v>
      </c>
      <c r="C61" s="4" t="s">
        <v>20</v>
      </c>
      <c r="D61" s="4" t="s">
        <v>81</v>
      </c>
      <c r="E61" s="4" t="s">
        <v>38</v>
      </c>
      <c r="F61" s="8">
        <v>566.13</v>
      </c>
      <c r="G61" s="9" t="str">
        <f t="array" ref="G61:I61">XLOOKUP(C61,DimRopa[SKU],DimRopa[[Prenda]:[Costo_Fabricacion]])</f>
        <v>Jeans Baggy Light Indigo</v>
      </c>
      <c r="H61" s="9" t="s">
        <v>25</v>
      </c>
      <c r="I61" s="10">
        <v>350.0</v>
      </c>
      <c r="J61" s="10">
        <f t="shared" si="1"/>
        <v>216.13</v>
      </c>
      <c r="K61" s="9" t="str">
        <f t="shared" si="2"/>
        <v>Regular</v>
      </c>
    </row>
    <row r="62" ht="15.75" customHeight="1">
      <c r="A62" s="4" t="s">
        <v>128</v>
      </c>
      <c r="B62" s="4" t="s">
        <v>126</v>
      </c>
      <c r="C62" s="4" t="s">
        <v>42</v>
      </c>
      <c r="D62" s="4" t="s">
        <v>58</v>
      </c>
      <c r="E62" s="4" t="s">
        <v>59</v>
      </c>
      <c r="F62" s="8">
        <v>773.18</v>
      </c>
      <c r="G62" s="9" t="str">
        <f t="array" ref="G62:I62">XLOOKUP(C62,DimRopa[SKU],DimRopa[[Prenda]:[Costo_Fabricacion]])</f>
        <v>Sneakers Chunky White</v>
      </c>
      <c r="H62" s="9" t="s">
        <v>44</v>
      </c>
      <c r="I62" s="10">
        <v>450.0</v>
      </c>
      <c r="J62" s="10">
        <f t="shared" si="1"/>
        <v>323.18</v>
      </c>
      <c r="K62" s="9" t="str">
        <f t="shared" si="2"/>
        <v>Alta</v>
      </c>
    </row>
    <row r="63" ht="15.75" customHeight="1">
      <c r="A63" s="4" t="s">
        <v>129</v>
      </c>
      <c r="B63" s="4" t="s">
        <v>126</v>
      </c>
      <c r="C63" s="4" t="s">
        <v>20</v>
      </c>
      <c r="D63" s="4" t="s">
        <v>54</v>
      </c>
      <c r="E63" s="4" t="s">
        <v>59</v>
      </c>
      <c r="F63" s="8">
        <v>694.93</v>
      </c>
      <c r="G63" s="9" t="str">
        <f t="array" ref="G63:I63">XLOOKUP(C63,DimRopa[SKU],DimRopa[[Prenda]:[Costo_Fabricacion]])</f>
        <v>Jeans Baggy Light Indigo</v>
      </c>
      <c r="H63" s="9" t="s">
        <v>25</v>
      </c>
      <c r="I63" s="10">
        <v>350.0</v>
      </c>
      <c r="J63" s="10">
        <f t="shared" si="1"/>
        <v>344.93</v>
      </c>
      <c r="K63" s="9" t="str">
        <f t="shared" si="2"/>
        <v>Alta</v>
      </c>
    </row>
    <row r="64" ht="15.75" customHeight="1">
      <c r="A64" s="4" t="s">
        <v>130</v>
      </c>
      <c r="B64" s="4" t="s">
        <v>131</v>
      </c>
      <c r="C64" s="4" t="s">
        <v>33</v>
      </c>
      <c r="D64" s="4" t="s">
        <v>81</v>
      </c>
      <c r="E64" s="4" t="s">
        <v>55</v>
      </c>
      <c r="F64" s="8">
        <v>1156.41</v>
      </c>
      <c r="G64" s="9" t="str">
        <f t="array" ref="G64:I64">XLOOKUP(C64,DimRopa[SKU],DimRopa[[Prenda]:[Costo_Fabricacion]])</f>
        <v>Chaqueta Double-Faced</v>
      </c>
      <c r="H64" s="9" t="s">
        <v>36</v>
      </c>
      <c r="I64" s="10">
        <v>650.0</v>
      </c>
      <c r="J64" s="10">
        <f t="shared" si="1"/>
        <v>506.41</v>
      </c>
      <c r="K64" s="9" t="str">
        <f t="shared" si="2"/>
        <v>Alta</v>
      </c>
    </row>
    <row r="65" ht="15.75" customHeight="1">
      <c r="A65" s="4" t="s">
        <v>132</v>
      </c>
      <c r="B65" s="4" t="s">
        <v>131</v>
      </c>
      <c r="C65" s="4" t="s">
        <v>42</v>
      </c>
      <c r="D65" s="4" t="s">
        <v>54</v>
      </c>
      <c r="E65" s="4" t="s">
        <v>55</v>
      </c>
      <c r="F65" s="8">
        <v>726.79</v>
      </c>
      <c r="G65" s="9" t="str">
        <f t="array" ref="G65:I65">XLOOKUP(C65,DimRopa[SKU],DimRopa[[Prenda]:[Costo_Fabricacion]])</f>
        <v>Sneakers Chunky White</v>
      </c>
      <c r="H65" s="9" t="s">
        <v>44</v>
      </c>
      <c r="I65" s="10">
        <v>450.0</v>
      </c>
      <c r="J65" s="10">
        <f t="shared" si="1"/>
        <v>276.79</v>
      </c>
      <c r="K65" s="9" t="str">
        <f t="shared" si="2"/>
        <v>Alta</v>
      </c>
    </row>
    <row r="66" ht="15.75" customHeight="1">
      <c r="A66" s="4" t="s">
        <v>133</v>
      </c>
      <c r="B66" s="4" t="s">
        <v>134</v>
      </c>
      <c r="C66" s="4" t="s">
        <v>39</v>
      </c>
      <c r="D66" s="4" t="s">
        <v>58</v>
      </c>
      <c r="E66" s="4" t="s">
        <v>38</v>
      </c>
      <c r="F66" s="8">
        <v>429.61</v>
      </c>
      <c r="G66" s="9" t="str">
        <f t="array" ref="G66:I66">XLOOKUP(C66,DimRopa[SKU],DimRopa[[Prenda]:[Costo_Fabricacion]])</f>
        <v>Hoodie Oversize Black</v>
      </c>
      <c r="H66" s="9" t="s">
        <v>41</v>
      </c>
      <c r="I66" s="10">
        <v>280.0</v>
      </c>
      <c r="J66" s="10">
        <f t="shared" si="1"/>
        <v>149.61</v>
      </c>
      <c r="K66" s="9" t="str">
        <f t="shared" si="2"/>
        <v>Regular</v>
      </c>
    </row>
    <row r="67" ht="15.75" customHeight="1">
      <c r="A67" s="4" t="s">
        <v>135</v>
      </c>
      <c r="B67" s="4" t="s">
        <v>134</v>
      </c>
      <c r="C67" s="4" t="s">
        <v>39</v>
      </c>
      <c r="D67" s="4" t="s">
        <v>58</v>
      </c>
      <c r="E67" s="4" t="s">
        <v>59</v>
      </c>
      <c r="F67" s="8">
        <v>441.2</v>
      </c>
      <c r="G67" s="9" t="str">
        <f t="array" ref="G67:I67">XLOOKUP(C67,DimRopa[SKU],DimRopa[[Prenda]:[Costo_Fabricacion]])</f>
        <v>Hoodie Oversize Black</v>
      </c>
      <c r="H67" s="9" t="s">
        <v>41</v>
      </c>
      <c r="I67" s="10">
        <v>280.0</v>
      </c>
      <c r="J67" s="10">
        <f t="shared" si="1"/>
        <v>161.2</v>
      </c>
      <c r="K67" s="9" t="str">
        <f t="shared" si="2"/>
        <v>Regular</v>
      </c>
    </row>
    <row r="68" ht="15.75" customHeight="1">
      <c r="A68" s="4" t="s">
        <v>136</v>
      </c>
      <c r="B68" s="4" t="s">
        <v>134</v>
      </c>
      <c r="C68" s="4" t="s">
        <v>33</v>
      </c>
      <c r="D68" s="4" t="s">
        <v>37</v>
      </c>
      <c r="E68" s="4" t="s">
        <v>55</v>
      </c>
      <c r="F68" s="8">
        <v>1248.49</v>
      </c>
      <c r="G68" s="9" t="str">
        <f t="array" ref="G68:I68">XLOOKUP(C68,DimRopa[SKU],DimRopa[[Prenda]:[Costo_Fabricacion]])</f>
        <v>Chaqueta Double-Faced</v>
      </c>
      <c r="H68" s="9" t="s">
        <v>36</v>
      </c>
      <c r="I68" s="10">
        <v>650.0</v>
      </c>
      <c r="J68" s="10">
        <f t="shared" si="1"/>
        <v>598.49</v>
      </c>
      <c r="K68" s="9" t="str">
        <f t="shared" si="2"/>
        <v>Alta</v>
      </c>
    </row>
    <row r="69" ht="15.75" customHeight="1">
      <c r="A69" s="4" t="s">
        <v>137</v>
      </c>
      <c r="B69" s="4" t="s">
        <v>134</v>
      </c>
      <c r="C69" s="4" t="s">
        <v>42</v>
      </c>
      <c r="D69" s="4" t="s">
        <v>58</v>
      </c>
      <c r="E69" s="4" t="s">
        <v>59</v>
      </c>
      <c r="F69" s="8">
        <v>630.2</v>
      </c>
      <c r="G69" s="9" t="str">
        <f t="array" ref="G69:I69">XLOOKUP(C69,DimRopa[SKU],DimRopa[[Prenda]:[Costo_Fabricacion]])</f>
        <v>Sneakers Chunky White</v>
      </c>
      <c r="H69" s="9" t="s">
        <v>44</v>
      </c>
      <c r="I69" s="10">
        <v>450.0</v>
      </c>
      <c r="J69" s="10">
        <f t="shared" si="1"/>
        <v>180.2</v>
      </c>
      <c r="K69" s="9" t="str">
        <f t="shared" si="2"/>
        <v>Regular</v>
      </c>
    </row>
    <row r="70" ht="15.75" customHeight="1">
      <c r="A70" s="4" t="s">
        <v>138</v>
      </c>
      <c r="B70" s="4" t="s">
        <v>134</v>
      </c>
      <c r="C70" s="4" t="s">
        <v>48</v>
      </c>
      <c r="D70" s="4" t="s">
        <v>54</v>
      </c>
      <c r="E70" s="4" t="s">
        <v>38</v>
      </c>
      <c r="F70" s="8">
        <v>563.04</v>
      </c>
      <c r="G70" s="9" t="str">
        <f t="array" ref="G70:I70">XLOOKUP(C70,DimRopa[SKU],DimRopa[[Prenda]:[Costo_Fabricacion]])</f>
        <v>Cargo Pants Olive</v>
      </c>
      <c r="H70" s="9" t="s">
        <v>25</v>
      </c>
      <c r="I70" s="10">
        <v>380.0</v>
      </c>
      <c r="J70" s="10">
        <f t="shared" si="1"/>
        <v>183.04</v>
      </c>
      <c r="K70" s="9" t="str">
        <f t="shared" si="2"/>
        <v>Regular</v>
      </c>
    </row>
    <row r="71" ht="15.75" customHeight="1">
      <c r="A71" s="4" t="s">
        <v>139</v>
      </c>
      <c r="B71" s="4" t="s">
        <v>134</v>
      </c>
      <c r="C71" s="4" t="s">
        <v>48</v>
      </c>
      <c r="D71" s="4" t="s">
        <v>37</v>
      </c>
      <c r="E71" s="4" t="s">
        <v>59</v>
      </c>
      <c r="F71" s="8">
        <v>567.93</v>
      </c>
      <c r="G71" s="9" t="str">
        <f t="array" ref="G71:I71">XLOOKUP(C71,DimRopa[SKU],DimRopa[[Prenda]:[Costo_Fabricacion]])</f>
        <v>Cargo Pants Olive</v>
      </c>
      <c r="H71" s="9" t="s">
        <v>25</v>
      </c>
      <c r="I71" s="10">
        <v>380.0</v>
      </c>
      <c r="J71" s="10">
        <f t="shared" si="1"/>
        <v>187.93</v>
      </c>
      <c r="K71" s="9" t="str">
        <f t="shared" si="2"/>
        <v>Regular</v>
      </c>
    </row>
    <row r="72" ht="15.75" customHeight="1">
      <c r="A72" s="4" t="s">
        <v>140</v>
      </c>
      <c r="B72" s="4" t="s">
        <v>134</v>
      </c>
      <c r="C72" s="4" t="s">
        <v>50</v>
      </c>
      <c r="D72" s="4" t="s">
        <v>71</v>
      </c>
      <c r="E72" s="4" t="s">
        <v>38</v>
      </c>
      <c r="F72" s="8">
        <v>128.12</v>
      </c>
      <c r="G72" s="9" t="str">
        <f t="array" ref="G72:I72">XLOOKUP(C72,DimRopa[SKU],DimRopa[[Prenda]:[Costo_Fabricacion]])</f>
        <v>Beanie Beis</v>
      </c>
      <c r="H72" s="9" t="s">
        <v>52</v>
      </c>
      <c r="I72" s="10">
        <v>80.0</v>
      </c>
      <c r="J72" s="10">
        <f t="shared" si="1"/>
        <v>48.12</v>
      </c>
      <c r="K72" s="9" t="str">
        <f t="shared" si="2"/>
        <v>Regular</v>
      </c>
    </row>
    <row r="73" ht="15.75" customHeight="1">
      <c r="A73" s="4" t="s">
        <v>141</v>
      </c>
      <c r="B73" s="4" t="s">
        <v>134</v>
      </c>
      <c r="C73" s="4" t="s">
        <v>27</v>
      </c>
      <c r="D73" s="4" t="s">
        <v>54</v>
      </c>
      <c r="E73" s="4" t="s">
        <v>38</v>
      </c>
      <c r="F73" s="8">
        <v>576.25</v>
      </c>
      <c r="G73" s="9" t="str">
        <f t="array" ref="G73:I73">XLOOKUP(C73,DimRopa[SKU],DimRopa[[Prenda]:[Costo_Fabricacion]])</f>
        <v>Jeans Relaxed Fit Dark</v>
      </c>
      <c r="H73" s="9" t="s">
        <v>25</v>
      </c>
      <c r="I73" s="10">
        <v>320.0</v>
      </c>
      <c r="J73" s="10">
        <f t="shared" si="1"/>
        <v>256.25</v>
      </c>
      <c r="K73" s="9" t="str">
        <f t="shared" si="2"/>
        <v>Alta</v>
      </c>
    </row>
    <row r="74" ht="15.75" customHeight="1">
      <c r="A74" s="4" t="s">
        <v>142</v>
      </c>
      <c r="B74" s="4" t="s">
        <v>134</v>
      </c>
      <c r="C74" s="4" t="s">
        <v>33</v>
      </c>
      <c r="D74" s="4" t="s">
        <v>37</v>
      </c>
      <c r="E74" s="4" t="s">
        <v>59</v>
      </c>
      <c r="F74" s="8">
        <v>1048.47</v>
      </c>
      <c r="G74" s="9" t="str">
        <f t="array" ref="G74:I74">XLOOKUP(C74,DimRopa[SKU],DimRopa[[Prenda]:[Costo_Fabricacion]])</f>
        <v>Chaqueta Double-Faced</v>
      </c>
      <c r="H74" s="9" t="s">
        <v>36</v>
      </c>
      <c r="I74" s="10">
        <v>650.0</v>
      </c>
      <c r="J74" s="10">
        <f t="shared" si="1"/>
        <v>398.47</v>
      </c>
      <c r="K74" s="9" t="str">
        <f t="shared" si="2"/>
        <v>Alta</v>
      </c>
    </row>
    <row r="75" ht="15.75" customHeight="1">
      <c r="A75" s="4" t="s">
        <v>143</v>
      </c>
      <c r="B75" s="4" t="s">
        <v>134</v>
      </c>
      <c r="C75" s="4" t="s">
        <v>20</v>
      </c>
      <c r="D75" s="4" t="s">
        <v>37</v>
      </c>
      <c r="E75" s="4" t="s">
        <v>38</v>
      </c>
      <c r="F75" s="8">
        <v>674.35</v>
      </c>
      <c r="G75" s="9" t="str">
        <f t="array" ref="G75:I75">XLOOKUP(C75,DimRopa[SKU],DimRopa[[Prenda]:[Costo_Fabricacion]])</f>
        <v>Jeans Baggy Light Indigo</v>
      </c>
      <c r="H75" s="9" t="s">
        <v>25</v>
      </c>
      <c r="I75" s="10">
        <v>350.0</v>
      </c>
      <c r="J75" s="10">
        <f t="shared" si="1"/>
        <v>324.35</v>
      </c>
      <c r="K75" s="9" t="str">
        <f t="shared" si="2"/>
        <v>Alta</v>
      </c>
    </row>
    <row r="76" ht="15.75" customHeight="1">
      <c r="A76" s="4" t="s">
        <v>144</v>
      </c>
      <c r="B76" s="4" t="s">
        <v>134</v>
      </c>
      <c r="C76" s="4" t="s">
        <v>39</v>
      </c>
      <c r="D76" s="4" t="s">
        <v>81</v>
      </c>
      <c r="E76" s="4" t="s">
        <v>55</v>
      </c>
      <c r="F76" s="8">
        <v>448.57</v>
      </c>
      <c r="G76" s="9" t="str">
        <f t="array" ref="G76:I76">XLOOKUP(C76,DimRopa[SKU],DimRopa[[Prenda]:[Costo_Fabricacion]])</f>
        <v>Hoodie Oversize Black</v>
      </c>
      <c r="H76" s="9" t="s">
        <v>41</v>
      </c>
      <c r="I76" s="10">
        <v>280.0</v>
      </c>
      <c r="J76" s="10">
        <f t="shared" si="1"/>
        <v>168.57</v>
      </c>
      <c r="K76" s="9" t="str">
        <f t="shared" si="2"/>
        <v>Regular</v>
      </c>
    </row>
    <row r="77" ht="15.75" customHeight="1">
      <c r="A77" s="4" t="s">
        <v>145</v>
      </c>
      <c r="B77" s="4" t="s">
        <v>146</v>
      </c>
      <c r="C77" s="4" t="s">
        <v>39</v>
      </c>
      <c r="D77" s="4" t="s">
        <v>81</v>
      </c>
      <c r="E77" s="4" t="s">
        <v>59</v>
      </c>
      <c r="F77" s="8">
        <v>436.34</v>
      </c>
      <c r="G77" s="9" t="str">
        <f t="array" ref="G77:I77">XLOOKUP(C77,DimRopa[SKU],DimRopa[[Prenda]:[Costo_Fabricacion]])</f>
        <v>Hoodie Oversize Black</v>
      </c>
      <c r="H77" s="9" t="s">
        <v>41</v>
      </c>
      <c r="I77" s="10">
        <v>280.0</v>
      </c>
      <c r="J77" s="10">
        <f t="shared" si="1"/>
        <v>156.34</v>
      </c>
      <c r="K77" s="9" t="str">
        <f t="shared" si="2"/>
        <v>Regular</v>
      </c>
    </row>
    <row r="78" ht="15.75" customHeight="1">
      <c r="A78" s="4" t="s">
        <v>147</v>
      </c>
      <c r="B78" s="4" t="s">
        <v>146</v>
      </c>
      <c r="C78" s="4" t="s">
        <v>42</v>
      </c>
      <c r="D78" s="4" t="s">
        <v>54</v>
      </c>
      <c r="E78" s="4" t="s">
        <v>59</v>
      </c>
      <c r="F78" s="8">
        <v>642.31</v>
      </c>
      <c r="G78" s="9" t="str">
        <f t="array" ref="G78:I78">XLOOKUP(C78,DimRopa[SKU],DimRopa[[Prenda]:[Costo_Fabricacion]])</f>
        <v>Sneakers Chunky White</v>
      </c>
      <c r="H78" s="9" t="s">
        <v>44</v>
      </c>
      <c r="I78" s="10">
        <v>450.0</v>
      </c>
      <c r="J78" s="10">
        <f t="shared" si="1"/>
        <v>192.31</v>
      </c>
      <c r="K78" s="9" t="str">
        <f t="shared" si="2"/>
        <v>Regular</v>
      </c>
    </row>
    <row r="79" ht="15.75" customHeight="1">
      <c r="A79" s="4" t="s">
        <v>148</v>
      </c>
      <c r="B79" s="4" t="s">
        <v>149</v>
      </c>
      <c r="C79" s="4" t="s">
        <v>27</v>
      </c>
      <c r="D79" s="4" t="s">
        <v>54</v>
      </c>
      <c r="E79" s="4" t="s">
        <v>38</v>
      </c>
      <c r="F79" s="8">
        <v>620.08</v>
      </c>
      <c r="G79" s="9" t="str">
        <f t="array" ref="G79:I79">XLOOKUP(C79,DimRopa[SKU],DimRopa[[Prenda]:[Costo_Fabricacion]])</f>
        <v>Jeans Relaxed Fit Dark</v>
      </c>
      <c r="H79" s="9" t="s">
        <v>25</v>
      </c>
      <c r="I79" s="10">
        <v>320.0</v>
      </c>
      <c r="J79" s="10">
        <f t="shared" si="1"/>
        <v>300.08</v>
      </c>
      <c r="K79" s="9" t="str">
        <f t="shared" si="2"/>
        <v>Alta</v>
      </c>
    </row>
    <row r="80" ht="15.75" customHeight="1">
      <c r="A80" s="4" t="s">
        <v>150</v>
      </c>
      <c r="B80" s="4" t="s">
        <v>149</v>
      </c>
      <c r="C80" s="4" t="s">
        <v>42</v>
      </c>
      <c r="D80" s="4" t="s">
        <v>54</v>
      </c>
      <c r="E80" s="4" t="s">
        <v>59</v>
      </c>
      <c r="F80" s="8">
        <v>723.12</v>
      </c>
      <c r="G80" s="9" t="str">
        <f t="array" ref="G80:I80">XLOOKUP(C80,DimRopa[SKU],DimRopa[[Prenda]:[Costo_Fabricacion]])</f>
        <v>Sneakers Chunky White</v>
      </c>
      <c r="H80" s="9" t="s">
        <v>44</v>
      </c>
      <c r="I80" s="10">
        <v>450.0</v>
      </c>
      <c r="J80" s="10">
        <f t="shared" si="1"/>
        <v>273.12</v>
      </c>
      <c r="K80" s="9" t="str">
        <f t="shared" si="2"/>
        <v>Alta</v>
      </c>
    </row>
    <row r="81" ht="15.75" customHeight="1">
      <c r="A81" s="4" t="s">
        <v>151</v>
      </c>
      <c r="B81" s="4" t="s">
        <v>149</v>
      </c>
      <c r="C81" s="4" t="s">
        <v>27</v>
      </c>
      <c r="D81" s="4" t="s">
        <v>58</v>
      </c>
      <c r="E81" s="4" t="s">
        <v>55</v>
      </c>
      <c r="F81" s="8">
        <v>464.98</v>
      </c>
      <c r="G81" s="9" t="str">
        <f t="array" ref="G81:I81">XLOOKUP(C81,DimRopa[SKU],DimRopa[[Prenda]:[Costo_Fabricacion]])</f>
        <v>Jeans Relaxed Fit Dark</v>
      </c>
      <c r="H81" s="9" t="s">
        <v>25</v>
      </c>
      <c r="I81" s="10">
        <v>320.0</v>
      </c>
      <c r="J81" s="10">
        <f t="shared" si="1"/>
        <v>144.98</v>
      </c>
      <c r="K81" s="9" t="str">
        <f t="shared" si="2"/>
        <v>Regular</v>
      </c>
    </row>
    <row r="82" ht="15.75" customHeight="1">
      <c r="A82" s="4" t="s">
        <v>152</v>
      </c>
      <c r="B82" s="4" t="s">
        <v>149</v>
      </c>
      <c r="C82" s="4" t="s">
        <v>48</v>
      </c>
      <c r="D82" s="4" t="s">
        <v>37</v>
      </c>
      <c r="E82" s="4" t="s">
        <v>59</v>
      </c>
      <c r="F82" s="8">
        <v>572.77</v>
      </c>
      <c r="G82" s="9" t="str">
        <f t="array" ref="G82:I82">XLOOKUP(C82,DimRopa[SKU],DimRopa[[Prenda]:[Costo_Fabricacion]])</f>
        <v>Cargo Pants Olive</v>
      </c>
      <c r="H82" s="9" t="s">
        <v>25</v>
      </c>
      <c r="I82" s="10">
        <v>380.0</v>
      </c>
      <c r="J82" s="10">
        <f t="shared" si="1"/>
        <v>192.77</v>
      </c>
      <c r="K82" s="9" t="str">
        <f t="shared" si="2"/>
        <v>Regular</v>
      </c>
    </row>
    <row r="83" ht="15.75" customHeight="1">
      <c r="A83" s="4" t="s">
        <v>153</v>
      </c>
      <c r="B83" s="4" t="s">
        <v>149</v>
      </c>
      <c r="C83" s="4" t="s">
        <v>20</v>
      </c>
      <c r="D83" s="4" t="s">
        <v>54</v>
      </c>
      <c r="E83" s="4" t="s">
        <v>38</v>
      </c>
      <c r="F83" s="8">
        <v>517.88</v>
      </c>
      <c r="G83" s="9" t="str">
        <f t="array" ref="G83:I83">XLOOKUP(C83,DimRopa[SKU],DimRopa[[Prenda]:[Costo_Fabricacion]])</f>
        <v>Jeans Baggy Light Indigo</v>
      </c>
      <c r="H83" s="9" t="s">
        <v>25</v>
      </c>
      <c r="I83" s="10">
        <v>350.0</v>
      </c>
      <c r="J83" s="10">
        <f t="shared" si="1"/>
        <v>167.88</v>
      </c>
      <c r="K83" s="9" t="str">
        <f t="shared" si="2"/>
        <v>Regular</v>
      </c>
    </row>
    <row r="84" ht="15.75" customHeight="1">
      <c r="A84" s="4" t="s">
        <v>154</v>
      </c>
      <c r="B84" s="4" t="s">
        <v>155</v>
      </c>
      <c r="C84" s="4" t="s">
        <v>39</v>
      </c>
      <c r="D84" s="4" t="s">
        <v>37</v>
      </c>
      <c r="E84" s="4" t="s">
        <v>59</v>
      </c>
      <c r="F84" s="8">
        <v>460.26</v>
      </c>
      <c r="G84" s="9" t="str">
        <f t="array" ref="G84:I84">XLOOKUP(C84,DimRopa[SKU],DimRopa[[Prenda]:[Costo_Fabricacion]])</f>
        <v>Hoodie Oversize Black</v>
      </c>
      <c r="H84" s="9" t="s">
        <v>41</v>
      </c>
      <c r="I84" s="10">
        <v>280.0</v>
      </c>
      <c r="J84" s="10">
        <f t="shared" si="1"/>
        <v>180.26</v>
      </c>
      <c r="K84" s="9" t="str">
        <f t="shared" si="2"/>
        <v>Regular</v>
      </c>
    </row>
    <row r="85" ht="15.75" customHeight="1">
      <c r="A85" s="4" t="s">
        <v>156</v>
      </c>
      <c r="B85" s="4" t="s">
        <v>155</v>
      </c>
      <c r="C85" s="4" t="s">
        <v>42</v>
      </c>
      <c r="D85" s="4" t="s">
        <v>54</v>
      </c>
      <c r="E85" s="4" t="s">
        <v>55</v>
      </c>
      <c r="F85" s="8">
        <v>630.03</v>
      </c>
      <c r="G85" s="9" t="str">
        <f t="array" ref="G85:I85">XLOOKUP(C85,DimRopa[SKU],DimRopa[[Prenda]:[Costo_Fabricacion]])</f>
        <v>Sneakers Chunky White</v>
      </c>
      <c r="H85" s="9" t="s">
        <v>44</v>
      </c>
      <c r="I85" s="10">
        <v>450.0</v>
      </c>
      <c r="J85" s="10">
        <f t="shared" si="1"/>
        <v>180.03</v>
      </c>
      <c r="K85" s="9" t="str">
        <f t="shared" si="2"/>
        <v>Regular</v>
      </c>
    </row>
    <row r="86" ht="15.75" customHeight="1">
      <c r="A86" s="4" t="s">
        <v>157</v>
      </c>
      <c r="B86" s="4" t="s">
        <v>155</v>
      </c>
      <c r="C86" s="4" t="s">
        <v>33</v>
      </c>
      <c r="D86" s="4" t="s">
        <v>81</v>
      </c>
      <c r="E86" s="4" t="s">
        <v>59</v>
      </c>
      <c r="F86" s="8">
        <v>945.49</v>
      </c>
      <c r="G86" s="9" t="str">
        <f t="array" ref="G86:I86">XLOOKUP(C86,DimRopa[SKU],DimRopa[[Prenda]:[Costo_Fabricacion]])</f>
        <v>Chaqueta Double-Faced</v>
      </c>
      <c r="H86" s="9" t="s">
        <v>36</v>
      </c>
      <c r="I86" s="10">
        <v>650.0</v>
      </c>
      <c r="J86" s="10">
        <f t="shared" si="1"/>
        <v>295.49</v>
      </c>
      <c r="K86" s="9" t="str">
        <f t="shared" si="2"/>
        <v>Alta</v>
      </c>
    </row>
    <row r="87" ht="15.75" customHeight="1">
      <c r="A87" s="4" t="s">
        <v>158</v>
      </c>
      <c r="B87" s="4" t="s">
        <v>155</v>
      </c>
      <c r="C87" s="4" t="s">
        <v>27</v>
      </c>
      <c r="D87" s="4" t="s">
        <v>58</v>
      </c>
      <c r="E87" s="4" t="s">
        <v>55</v>
      </c>
      <c r="F87" s="8">
        <v>479.48</v>
      </c>
      <c r="G87" s="9" t="str">
        <f t="array" ref="G87:I87">XLOOKUP(C87,DimRopa[SKU],DimRopa[[Prenda]:[Costo_Fabricacion]])</f>
        <v>Jeans Relaxed Fit Dark</v>
      </c>
      <c r="H87" s="9" t="s">
        <v>25</v>
      </c>
      <c r="I87" s="10">
        <v>320.0</v>
      </c>
      <c r="J87" s="10">
        <f t="shared" si="1"/>
        <v>159.48</v>
      </c>
      <c r="K87" s="9" t="str">
        <f t="shared" si="2"/>
        <v>Regular</v>
      </c>
    </row>
    <row r="88" ht="15.75" customHeight="1">
      <c r="A88" s="4" t="s">
        <v>159</v>
      </c>
      <c r="B88" s="4" t="s">
        <v>155</v>
      </c>
      <c r="C88" s="4" t="s">
        <v>45</v>
      </c>
      <c r="D88" s="4" t="s">
        <v>54</v>
      </c>
      <c r="E88" s="4" t="s">
        <v>59</v>
      </c>
      <c r="F88" s="8">
        <v>237.18</v>
      </c>
      <c r="G88" s="9" t="str">
        <f t="array" ref="G88:I88">XLOOKUP(C88,DimRopa[SKU],DimRopa[[Prenda]:[Costo_Fabricacion]])</f>
        <v>Camiseta Graphic Print</v>
      </c>
      <c r="H88" s="9" t="s">
        <v>47</v>
      </c>
      <c r="I88" s="10">
        <v>120.0</v>
      </c>
      <c r="J88" s="10">
        <f t="shared" si="1"/>
        <v>117.18</v>
      </c>
      <c r="K88" s="9" t="str">
        <f t="shared" si="2"/>
        <v>Regular</v>
      </c>
    </row>
    <row r="89" ht="15.75" customHeight="1">
      <c r="A89" s="4" t="s">
        <v>160</v>
      </c>
      <c r="B89" s="4" t="s">
        <v>161</v>
      </c>
      <c r="C89" s="4" t="s">
        <v>27</v>
      </c>
      <c r="D89" s="4" t="s">
        <v>58</v>
      </c>
      <c r="E89" s="4" t="s">
        <v>38</v>
      </c>
      <c r="F89" s="8">
        <v>485.46</v>
      </c>
      <c r="G89" s="9" t="str">
        <f t="array" ref="G89:I89">XLOOKUP(C89,DimRopa[SKU],DimRopa[[Prenda]:[Costo_Fabricacion]])</f>
        <v>Jeans Relaxed Fit Dark</v>
      </c>
      <c r="H89" s="9" t="s">
        <v>25</v>
      </c>
      <c r="I89" s="10">
        <v>320.0</v>
      </c>
      <c r="J89" s="10">
        <f t="shared" si="1"/>
        <v>165.46</v>
      </c>
      <c r="K89" s="9" t="str">
        <f t="shared" si="2"/>
        <v>Regular</v>
      </c>
    </row>
    <row r="90" ht="15.75" customHeight="1">
      <c r="A90" s="4" t="s">
        <v>162</v>
      </c>
      <c r="B90" s="4" t="s">
        <v>161</v>
      </c>
      <c r="C90" s="4" t="s">
        <v>42</v>
      </c>
      <c r="D90" s="4" t="s">
        <v>81</v>
      </c>
      <c r="E90" s="4" t="s">
        <v>38</v>
      </c>
      <c r="F90" s="8">
        <v>725.53</v>
      </c>
      <c r="G90" s="9" t="str">
        <f t="array" ref="G90:I90">XLOOKUP(C90,DimRopa[SKU],DimRopa[[Prenda]:[Costo_Fabricacion]])</f>
        <v>Sneakers Chunky White</v>
      </c>
      <c r="H90" s="9" t="s">
        <v>44</v>
      </c>
      <c r="I90" s="10">
        <v>450.0</v>
      </c>
      <c r="J90" s="10">
        <f t="shared" si="1"/>
        <v>275.53</v>
      </c>
      <c r="K90" s="9" t="str">
        <f t="shared" si="2"/>
        <v>Alta</v>
      </c>
    </row>
    <row r="91" ht="15.75" customHeight="1">
      <c r="A91" s="4" t="s">
        <v>163</v>
      </c>
      <c r="B91" s="4" t="s">
        <v>161</v>
      </c>
      <c r="C91" s="4" t="s">
        <v>20</v>
      </c>
      <c r="D91" s="4" t="s">
        <v>54</v>
      </c>
      <c r="E91" s="4" t="s">
        <v>38</v>
      </c>
      <c r="F91" s="8">
        <v>653.11</v>
      </c>
      <c r="G91" s="9" t="str">
        <f t="array" ref="G91:I91">XLOOKUP(C91,DimRopa[SKU],DimRopa[[Prenda]:[Costo_Fabricacion]])</f>
        <v>Jeans Baggy Light Indigo</v>
      </c>
      <c r="H91" s="9" t="s">
        <v>25</v>
      </c>
      <c r="I91" s="10">
        <v>350.0</v>
      </c>
      <c r="J91" s="10">
        <f t="shared" si="1"/>
        <v>303.11</v>
      </c>
      <c r="K91" s="9" t="str">
        <f t="shared" si="2"/>
        <v>Alta</v>
      </c>
    </row>
    <row r="92" ht="15.75" customHeight="1">
      <c r="A92" s="4" t="s">
        <v>164</v>
      </c>
      <c r="B92" s="4" t="s">
        <v>161</v>
      </c>
      <c r="C92" s="4" t="s">
        <v>50</v>
      </c>
      <c r="D92" s="4" t="s">
        <v>71</v>
      </c>
      <c r="E92" s="4" t="s">
        <v>59</v>
      </c>
      <c r="F92" s="8">
        <v>140.6</v>
      </c>
      <c r="G92" s="9" t="str">
        <f t="array" ref="G92:I92">XLOOKUP(C92,DimRopa[SKU],DimRopa[[Prenda]:[Costo_Fabricacion]])</f>
        <v>Beanie Beis</v>
      </c>
      <c r="H92" s="9" t="s">
        <v>52</v>
      </c>
      <c r="I92" s="10">
        <v>80.0</v>
      </c>
      <c r="J92" s="10">
        <f t="shared" si="1"/>
        <v>60.6</v>
      </c>
      <c r="K92" s="9" t="str">
        <f t="shared" si="2"/>
        <v>Regular</v>
      </c>
    </row>
    <row r="93" ht="15.75" customHeight="1">
      <c r="A93" s="4" t="s">
        <v>165</v>
      </c>
      <c r="B93" s="4" t="s">
        <v>161</v>
      </c>
      <c r="C93" s="4" t="s">
        <v>27</v>
      </c>
      <c r="D93" s="4" t="s">
        <v>37</v>
      </c>
      <c r="E93" s="4" t="s">
        <v>59</v>
      </c>
      <c r="F93" s="8">
        <v>492.8</v>
      </c>
      <c r="G93" s="9" t="str">
        <f t="array" ref="G93:I93">XLOOKUP(C93,DimRopa[SKU],DimRopa[[Prenda]:[Costo_Fabricacion]])</f>
        <v>Jeans Relaxed Fit Dark</v>
      </c>
      <c r="H93" s="9" t="s">
        <v>25</v>
      </c>
      <c r="I93" s="10">
        <v>320.0</v>
      </c>
      <c r="J93" s="10">
        <f t="shared" si="1"/>
        <v>172.8</v>
      </c>
      <c r="K93" s="9" t="str">
        <f t="shared" si="2"/>
        <v>Regular</v>
      </c>
    </row>
    <row r="94" ht="15.75" customHeight="1">
      <c r="A94" s="4" t="s">
        <v>166</v>
      </c>
      <c r="B94" s="4" t="s">
        <v>167</v>
      </c>
      <c r="C94" s="4" t="s">
        <v>48</v>
      </c>
      <c r="D94" s="4" t="s">
        <v>58</v>
      </c>
      <c r="E94" s="4" t="s">
        <v>55</v>
      </c>
      <c r="F94" s="8">
        <v>676.1</v>
      </c>
      <c r="G94" s="9" t="str">
        <f t="array" ref="G94:I94">XLOOKUP(C94,DimRopa[SKU],DimRopa[[Prenda]:[Costo_Fabricacion]])</f>
        <v>Cargo Pants Olive</v>
      </c>
      <c r="H94" s="9" t="s">
        <v>25</v>
      </c>
      <c r="I94" s="10">
        <v>380.0</v>
      </c>
      <c r="J94" s="10">
        <f t="shared" si="1"/>
        <v>296.1</v>
      </c>
      <c r="K94" s="9" t="str">
        <f t="shared" si="2"/>
        <v>Alta</v>
      </c>
    </row>
    <row r="95" ht="15.75" customHeight="1">
      <c r="A95" s="4" t="s">
        <v>168</v>
      </c>
      <c r="B95" s="4" t="s">
        <v>167</v>
      </c>
      <c r="C95" s="4" t="s">
        <v>45</v>
      </c>
      <c r="D95" s="4" t="s">
        <v>37</v>
      </c>
      <c r="E95" s="4" t="s">
        <v>55</v>
      </c>
      <c r="F95" s="8">
        <v>177.41</v>
      </c>
      <c r="G95" s="9" t="str">
        <f t="array" ref="G95:I95">XLOOKUP(C95,DimRopa[SKU],DimRopa[[Prenda]:[Costo_Fabricacion]])</f>
        <v>Camiseta Graphic Print</v>
      </c>
      <c r="H95" s="9" t="s">
        <v>47</v>
      </c>
      <c r="I95" s="10">
        <v>120.0</v>
      </c>
      <c r="J95" s="10">
        <f t="shared" si="1"/>
        <v>57.41</v>
      </c>
      <c r="K95" s="9" t="str">
        <f t="shared" si="2"/>
        <v>Regular</v>
      </c>
    </row>
    <row r="96" ht="15.75" customHeight="1">
      <c r="A96" s="4" t="s">
        <v>169</v>
      </c>
      <c r="B96" s="4" t="s">
        <v>167</v>
      </c>
      <c r="C96" s="4" t="s">
        <v>33</v>
      </c>
      <c r="D96" s="4" t="s">
        <v>54</v>
      </c>
      <c r="E96" s="4" t="s">
        <v>59</v>
      </c>
      <c r="F96" s="8">
        <v>1045.96</v>
      </c>
      <c r="G96" s="9" t="str">
        <f t="array" ref="G96:I96">XLOOKUP(C96,DimRopa[SKU],DimRopa[[Prenda]:[Costo_Fabricacion]])</f>
        <v>Chaqueta Double-Faced</v>
      </c>
      <c r="H96" s="9" t="s">
        <v>36</v>
      </c>
      <c r="I96" s="10">
        <v>650.0</v>
      </c>
      <c r="J96" s="10">
        <f t="shared" si="1"/>
        <v>395.96</v>
      </c>
      <c r="K96" s="9" t="str">
        <f t="shared" si="2"/>
        <v>Alta</v>
      </c>
    </row>
    <row r="97" ht="15.75" customHeight="1">
      <c r="A97" s="4" t="s">
        <v>170</v>
      </c>
      <c r="B97" s="4" t="s">
        <v>167</v>
      </c>
      <c r="C97" s="4" t="s">
        <v>20</v>
      </c>
      <c r="D97" s="4" t="s">
        <v>81</v>
      </c>
      <c r="E97" s="4" t="s">
        <v>55</v>
      </c>
      <c r="F97" s="8">
        <v>676.63</v>
      </c>
      <c r="G97" s="9" t="str">
        <f t="array" ref="G97:I97">XLOOKUP(C97,DimRopa[SKU],DimRopa[[Prenda]:[Costo_Fabricacion]])</f>
        <v>Jeans Baggy Light Indigo</v>
      </c>
      <c r="H97" s="9" t="s">
        <v>25</v>
      </c>
      <c r="I97" s="10">
        <v>350.0</v>
      </c>
      <c r="J97" s="10">
        <f t="shared" si="1"/>
        <v>326.63</v>
      </c>
      <c r="K97" s="9" t="str">
        <f t="shared" si="2"/>
        <v>Alta</v>
      </c>
    </row>
    <row r="98" ht="15.75" customHeight="1">
      <c r="A98" s="4" t="s">
        <v>171</v>
      </c>
      <c r="B98" s="4" t="s">
        <v>172</v>
      </c>
      <c r="C98" s="4" t="s">
        <v>20</v>
      </c>
      <c r="D98" s="4" t="s">
        <v>37</v>
      </c>
      <c r="E98" s="4" t="s">
        <v>55</v>
      </c>
      <c r="F98" s="8">
        <v>682.53</v>
      </c>
      <c r="G98" s="9" t="str">
        <f t="array" ref="G98:I98">XLOOKUP(C98,DimRopa[SKU],DimRopa[[Prenda]:[Costo_Fabricacion]])</f>
        <v>Jeans Baggy Light Indigo</v>
      </c>
      <c r="H98" s="9" t="s">
        <v>25</v>
      </c>
      <c r="I98" s="10">
        <v>350.0</v>
      </c>
      <c r="J98" s="10">
        <f t="shared" si="1"/>
        <v>332.53</v>
      </c>
      <c r="K98" s="9" t="str">
        <f t="shared" si="2"/>
        <v>Alta</v>
      </c>
    </row>
    <row r="99" ht="15.75" customHeight="1">
      <c r="A99" s="4" t="s">
        <v>173</v>
      </c>
      <c r="B99" s="4" t="s">
        <v>172</v>
      </c>
      <c r="C99" s="4" t="s">
        <v>33</v>
      </c>
      <c r="D99" s="4" t="s">
        <v>37</v>
      </c>
      <c r="E99" s="4" t="s">
        <v>59</v>
      </c>
      <c r="F99" s="8">
        <v>1133.42</v>
      </c>
      <c r="G99" s="9" t="str">
        <f t="array" ref="G99:I99">XLOOKUP(C99,DimRopa[SKU],DimRopa[[Prenda]:[Costo_Fabricacion]])</f>
        <v>Chaqueta Double-Faced</v>
      </c>
      <c r="H99" s="9" t="s">
        <v>36</v>
      </c>
      <c r="I99" s="10">
        <v>650.0</v>
      </c>
      <c r="J99" s="10">
        <f t="shared" si="1"/>
        <v>483.42</v>
      </c>
      <c r="K99" s="9" t="str">
        <f t="shared" si="2"/>
        <v>Alta</v>
      </c>
    </row>
    <row r="100" ht="15.75" customHeight="1">
      <c r="A100" s="4" t="s">
        <v>174</v>
      </c>
      <c r="B100" s="4" t="s">
        <v>172</v>
      </c>
      <c r="C100" s="4" t="s">
        <v>42</v>
      </c>
      <c r="D100" s="4" t="s">
        <v>81</v>
      </c>
      <c r="E100" s="4" t="s">
        <v>38</v>
      </c>
      <c r="F100" s="8">
        <v>735.07</v>
      </c>
      <c r="G100" s="9" t="str">
        <f t="array" ref="G100:I100">XLOOKUP(C100,DimRopa[SKU],DimRopa[[Prenda]:[Costo_Fabricacion]])</f>
        <v>Sneakers Chunky White</v>
      </c>
      <c r="H100" s="9" t="s">
        <v>44</v>
      </c>
      <c r="I100" s="10">
        <v>450.0</v>
      </c>
      <c r="J100" s="10">
        <f t="shared" si="1"/>
        <v>285.07</v>
      </c>
      <c r="K100" s="9" t="str">
        <f t="shared" si="2"/>
        <v>Alta</v>
      </c>
    </row>
    <row r="101" ht="15.75" customHeight="1">
      <c r="A101" s="4" t="s">
        <v>175</v>
      </c>
      <c r="B101" s="4" t="s">
        <v>172</v>
      </c>
      <c r="C101" s="4" t="s">
        <v>33</v>
      </c>
      <c r="D101" s="4" t="s">
        <v>54</v>
      </c>
      <c r="E101" s="4" t="s">
        <v>55</v>
      </c>
      <c r="F101" s="8">
        <v>1079.34</v>
      </c>
      <c r="G101" s="9" t="str">
        <f t="array" ref="G101:I101">XLOOKUP(C101,DimRopa[SKU],DimRopa[[Prenda]:[Costo_Fabricacion]])</f>
        <v>Chaqueta Double-Faced</v>
      </c>
      <c r="H101" s="9" t="s">
        <v>36</v>
      </c>
      <c r="I101" s="10">
        <v>650.0</v>
      </c>
      <c r="J101" s="10">
        <f t="shared" si="1"/>
        <v>429.34</v>
      </c>
      <c r="K101" s="9" t="str">
        <f t="shared" si="2"/>
        <v>Alta</v>
      </c>
    </row>
    <row r="102" ht="15.75" customHeight="1">
      <c r="A102" s="4" t="s">
        <v>176</v>
      </c>
      <c r="B102" s="4" t="s">
        <v>172</v>
      </c>
      <c r="C102" s="4" t="s">
        <v>39</v>
      </c>
      <c r="D102" s="4" t="s">
        <v>54</v>
      </c>
      <c r="E102" s="4" t="s">
        <v>38</v>
      </c>
      <c r="F102" s="8">
        <v>532.76</v>
      </c>
      <c r="G102" s="9" t="str">
        <f t="array" ref="G102:I102">XLOOKUP(C102,DimRopa[SKU],DimRopa[[Prenda]:[Costo_Fabricacion]])</f>
        <v>Hoodie Oversize Black</v>
      </c>
      <c r="H102" s="9" t="s">
        <v>41</v>
      </c>
      <c r="I102" s="10">
        <v>280.0</v>
      </c>
      <c r="J102" s="10">
        <f t="shared" si="1"/>
        <v>252.76</v>
      </c>
      <c r="K102" s="9" t="str">
        <f t="shared" si="2"/>
        <v>Alta</v>
      </c>
    </row>
    <row r="103" ht="15.75" customHeight="1">
      <c r="A103" s="4" t="s">
        <v>177</v>
      </c>
      <c r="B103" s="4" t="s">
        <v>172</v>
      </c>
      <c r="C103" s="4" t="s">
        <v>27</v>
      </c>
      <c r="D103" s="4" t="s">
        <v>81</v>
      </c>
      <c r="E103" s="4" t="s">
        <v>38</v>
      </c>
      <c r="F103" s="8">
        <v>528.95</v>
      </c>
      <c r="G103" s="9" t="str">
        <f t="array" ref="G103:I103">XLOOKUP(C103,DimRopa[SKU],DimRopa[[Prenda]:[Costo_Fabricacion]])</f>
        <v>Jeans Relaxed Fit Dark</v>
      </c>
      <c r="H103" s="9" t="s">
        <v>25</v>
      </c>
      <c r="I103" s="10">
        <v>320.0</v>
      </c>
      <c r="J103" s="10">
        <f t="shared" si="1"/>
        <v>208.95</v>
      </c>
      <c r="K103" s="9" t="str">
        <f t="shared" si="2"/>
        <v>Regular</v>
      </c>
    </row>
    <row r="104" ht="15.75" customHeight="1">
      <c r="A104" s="4" t="s">
        <v>178</v>
      </c>
      <c r="B104" s="4" t="s">
        <v>172</v>
      </c>
      <c r="C104" s="4" t="s">
        <v>27</v>
      </c>
      <c r="D104" s="4" t="s">
        <v>37</v>
      </c>
      <c r="E104" s="4" t="s">
        <v>59</v>
      </c>
      <c r="F104" s="8">
        <v>531.52</v>
      </c>
      <c r="G104" s="9" t="str">
        <f t="array" ref="G104:I104">XLOOKUP(C104,DimRopa[SKU],DimRopa[[Prenda]:[Costo_Fabricacion]])</f>
        <v>Jeans Relaxed Fit Dark</v>
      </c>
      <c r="H104" s="9" t="s">
        <v>25</v>
      </c>
      <c r="I104" s="10">
        <v>320.0</v>
      </c>
      <c r="J104" s="10">
        <f t="shared" si="1"/>
        <v>211.52</v>
      </c>
      <c r="K104" s="9" t="str">
        <f t="shared" si="2"/>
        <v>Regular</v>
      </c>
    </row>
    <row r="105" ht="15.75" customHeight="1">
      <c r="A105" s="4" t="s">
        <v>179</v>
      </c>
      <c r="B105" s="4" t="s">
        <v>172</v>
      </c>
      <c r="C105" s="4" t="s">
        <v>48</v>
      </c>
      <c r="D105" s="4" t="s">
        <v>37</v>
      </c>
      <c r="E105" s="4" t="s">
        <v>38</v>
      </c>
      <c r="F105" s="8">
        <v>678.02</v>
      </c>
      <c r="G105" s="9" t="str">
        <f t="array" ref="G105:I105">XLOOKUP(C105,DimRopa[SKU],DimRopa[[Prenda]:[Costo_Fabricacion]])</f>
        <v>Cargo Pants Olive</v>
      </c>
      <c r="H105" s="9" t="s">
        <v>25</v>
      </c>
      <c r="I105" s="10">
        <v>380.0</v>
      </c>
      <c r="J105" s="10">
        <f t="shared" si="1"/>
        <v>298.02</v>
      </c>
      <c r="K105" s="9" t="str">
        <f t="shared" si="2"/>
        <v>Alta</v>
      </c>
    </row>
    <row r="106" ht="15.75" customHeight="1">
      <c r="A106" s="4" t="s">
        <v>180</v>
      </c>
      <c r="B106" s="4" t="s">
        <v>181</v>
      </c>
      <c r="C106" s="4" t="s">
        <v>50</v>
      </c>
      <c r="D106" s="4" t="s">
        <v>71</v>
      </c>
      <c r="E106" s="4" t="s">
        <v>55</v>
      </c>
      <c r="F106" s="8">
        <v>125.33</v>
      </c>
      <c r="G106" s="9" t="str">
        <f t="array" ref="G106:I106">XLOOKUP(C106,DimRopa[SKU],DimRopa[[Prenda]:[Costo_Fabricacion]])</f>
        <v>Beanie Beis</v>
      </c>
      <c r="H106" s="9" t="s">
        <v>52</v>
      </c>
      <c r="I106" s="10">
        <v>80.0</v>
      </c>
      <c r="J106" s="10">
        <f t="shared" si="1"/>
        <v>45.33</v>
      </c>
      <c r="K106" s="9" t="str">
        <f t="shared" si="2"/>
        <v>Regular</v>
      </c>
    </row>
    <row r="107" ht="15.75" customHeight="1">
      <c r="A107" s="4" t="s">
        <v>182</v>
      </c>
      <c r="B107" s="4" t="s">
        <v>181</v>
      </c>
      <c r="C107" s="4" t="s">
        <v>33</v>
      </c>
      <c r="D107" s="4" t="s">
        <v>54</v>
      </c>
      <c r="E107" s="4" t="s">
        <v>59</v>
      </c>
      <c r="F107" s="8">
        <v>1118.88</v>
      </c>
      <c r="G107" s="9" t="str">
        <f t="array" ref="G107:I107">XLOOKUP(C107,DimRopa[SKU],DimRopa[[Prenda]:[Costo_Fabricacion]])</f>
        <v>Chaqueta Double-Faced</v>
      </c>
      <c r="H107" s="9" t="s">
        <v>36</v>
      </c>
      <c r="I107" s="10">
        <v>650.0</v>
      </c>
      <c r="J107" s="10">
        <f t="shared" si="1"/>
        <v>468.88</v>
      </c>
      <c r="K107" s="9" t="str">
        <f t="shared" si="2"/>
        <v>Alta</v>
      </c>
    </row>
    <row r="108" ht="15.75" customHeight="1">
      <c r="A108" s="4" t="s">
        <v>183</v>
      </c>
      <c r="B108" s="4" t="s">
        <v>181</v>
      </c>
      <c r="C108" s="4" t="s">
        <v>27</v>
      </c>
      <c r="D108" s="4" t="s">
        <v>37</v>
      </c>
      <c r="E108" s="4" t="s">
        <v>38</v>
      </c>
      <c r="F108" s="8">
        <v>625.22</v>
      </c>
      <c r="G108" s="9" t="str">
        <f t="array" ref="G108:I108">XLOOKUP(C108,DimRopa[SKU],DimRopa[[Prenda]:[Costo_Fabricacion]])</f>
        <v>Jeans Relaxed Fit Dark</v>
      </c>
      <c r="H108" s="9" t="s">
        <v>25</v>
      </c>
      <c r="I108" s="10">
        <v>320.0</v>
      </c>
      <c r="J108" s="10">
        <f t="shared" si="1"/>
        <v>305.22</v>
      </c>
      <c r="K108" s="9" t="str">
        <f t="shared" si="2"/>
        <v>Alta</v>
      </c>
    </row>
    <row r="109" ht="15.75" customHeight="1">
      <c r="A109" s="4" t="s">
        <v>184</v>
      </c>
      <c r="B109" s="4" t="s">
        <v>181</v>
      </c>
      <c r="C109" s="4" t="s">
        <v>48</v>
      </c>
      <c r="D109" s="4" t="s">
        <v>54</v>
      </c>
      <c r="E109" s="4" t="s">
        <v>59</v>
      </c>
      <c r="F109" s="8">
        <v>678.27</v>
      </c>
      <c r="G109" s="9" t="str">
        <f t="array" ref="G109:I109">XLOOKUP(C109,DimRopa[SKU],DimRopa[[Prenda]:[Costo_Fabricacion]])</f>
        <v>Cargo Pants Olive</v>
      </c>
      <c r="H109" s="9" t="s">
        <v>25</v>
      </c>
      <c r="I109" s="10">
        <v>380.0</v>
      </c>
      <c r="J109" s="10">
        <f t="shared" si="1"/>
        <v>298.27</v>
      </c>
      <c r="K109" s="9" t="str">
        <f t="shared" si="2"/>
        <v>Alta</v>
      </c>
    </row>
    <row r="110" ht="15.75" customHeight="1">
      <c r="A110" s="4" t="s">
        <v>185</v>
      </c>
      <c r="B110" s="4" t="s">
        <v>181</v>
      </c>
      <c r="C110" s="4" t="s">
        <v>50</v>
      </c>
      <c r="D110" s="4" t="s">
        <v>71</v>
      </c>
      <c r="E110" s="4" t="s">
        <v>59</v>
      </c>
      <c r="F110" s="8">
        <v>134.27</v>
      </c>
      <c r="G110" s="9" t="str">
        <f t="array" ref="G110:I110">XLOOKUP(C110,DimRopa[SKU],DimRopa[[Prenda]:[Costo_Fabricacion]])</f>
        <v>Beanie Beis</v>
      </c>
      <c r="H110" s="9" t="s">
        <v>52</v>
      </c>
      <c r="I110" s="10">
        <v>80.0</v>
      </c>
      <c r="J110" s="10">
        <f t="shared" si="1"/>
        <v>54.27</v>
      </c>
      <c r="K110" s="9" t="str">
        <f t="shared" si="2"/>
        <v>Regular</v>
      </c>
    </row>
    <row r="111" ht="15.75" customHeight="1">
      <c r="A111" s="4" t="s">
        <v>186</v>
      </c>
      <c r="B111" s="4" t="s">
        <v>181</v>
      </c>
      <c r="C111" s="4" t="s">
        <v>33</v>
      </c>
      <c r="D111" s="4" t="s">
        <v>54</v>
      </c>
      <c r="E111" s="4" t="s">
        <v>38</v>
      </c>
      <c r="F111" s="8">
        <v>916.4</v>
      </c>
      <c r="G111" s="9" t="str">
        <f t="array" ref="G111:I111">XLOOKUP(C111,DimRopa[SKU],DimRopa[[Prenda]:[Costo_Fabricacion]])</f>
        <v>Chaqueta Double-Faced</v>
      </c>
      <c r="H111" s="9" t="s">
        <v>36</v>
      </c>
      <c r="I111" s="10">
        <v>650.0</v>
      </c>
      <c r="J111" s="10">
        <f t="shared" si="1"/>
        <v>266.4</v>
      </c>
      <c r="K111" s="9" t="str">
        <f t="shared" si="2"/>
        <v>Alta</v>
      </c>
    </row>
    <row r="112" ht="15.75" customHeight="1">
      <c r="A112" s="4" t="s">
        <v>187</v>
      </c>
      <c r="B112" s="4" t="s">
        <v>181</v>
      </c>
      <c r="C112" s="4" t="s">
        <v>33</v>
      </c>
      <c r="D112" s="4" t="s">
        <v>58</v>
      </c>
      <c r="E112" s="4" t="s">
        <v>55</v>
      </c>
      <c r="F112" s="8">
        <v>1198.19</v>
      </c>
      <c r="G112" s="9" t="str">
        <f t="array" ref="G112:I112">XLOOKUP(C112,DimRopa[SKU],DimRopa[[Prenda]:[Costo_Fabricacion]])</f>
        <v>Chaqueta Double-Faced</v>
      </c>
      <c r="H112" s="9" t="s">
        <v>36</v>
      </c>
      <c r="I112" s="10">
        <v>650.0</v>
      </c>
      <c r="J112" s="10">
        <f t="shared" si="1"/>
        <v>548.19</v>
      </c>
      <c r="K112" s="9" t="str">
        <f t="shared" si="2"/>
        <v>Alta</v>
      </c>
    </row>
    <row r="113" ht="15.75" customHeight="1">
      <c r="A113" s="4" t="s">
        <v>188</v>
      </c>
      <c r="B113" s="4" t="s">
        <v>181</v>
      </c>
      <c r="C113" s="4" t="s">
        <v>39</v>
      </c>
      <c r="D113" s="4" t="s">
        <v>37</v>
      </c>
      <c r="E113" s="4" t="s">
        <v>59</v>
      </c>
      <c r="F113" s="8">
        <v>451.42</v>
      </c>
      <c r="G113" s="9" t="str">
        <f t="array" ref="G113:I113">XLOOKUP(C113,DimRopa[SKU],DimRopa[[Prenda]:[Costo_Fabricacion]])</f>
        <v>Hoodie Oversize Black</v>
      </c>
      <c r="H113" s="9" t="s">
        <v>41</v>
      </c>
      <c r="I113" s="10">
        <v>280.0</v>
      </c>
      <c r="J113" s="10">
        <f t="shared" si="1"/>
        <v>171.42</v>
      </c>
      <c r="K113" s="9" t="str">
        <f t="shared" si="2"/>
        <v>Regular</v>
      </c>
    </row>
    <row r="114" ht="15.75" customHeight="1">
      <c r="A114" s="4" t="s">
        <v>189</v>
      </c>
      <c r="B114" s="4" t="s">
        <v>190</v>
      </c>
      <c r="C114" s="4" t="s">
        <v>45</v>
      </c>
      <c r="D114" s="4" t="s">
        <v>58</v>
      </c>
      <c r="E114" s="4" t="s">
        <v>59</v>
      </c>
      <c r="F114" s="8">
        <v>206.07</v>
      </c>
      <c r="G114" s="9" t="str">
        <f t="array" ref="G114:I114">XLOOKUP(C114,DimRopa[SKU],DimRopa[[Prenda]:[Costo_Fabricacion]])</f>
        <v>Camiseta Graphic Print</v>
      </c>
      <c r="H114" s="9" t="s">
        <v>47</v>
      </c>
      <c r="I114" s="10">
        <v>120.0</v>
      </c>
      <c r="J114" s="10">
        <f t="shared" si="1"/>
        <v>86.07</v>
      </c>
      <c r="K114" s="9" t="str">
        <f t="shared" si="2"/>
        <v>Regular</v>
      </c>
    </row>
    <row r="115" ht="15.75" customHeight="1">
      <c r="A115" s="4" t="s">
        <v>191</v>
      </c>
      <c r="B115" s="4" t="s">
        <v>190</v>
      </c>
      <c r="C115" s="4" t="s">
        <v>48</v>
      </c>
      <c r="D115" s="4" t="s">
        <v>37</v>
      </c>
      <c r="E115" s="4" t="s">
        <v>55</v>
      </c>
      <c r="F115" s="8">
        <v>662.6</v>
      </c>
      <c r="G115" s="9" t="str">
        <f t="array" ref="G115:I115">XLOOKUP(C115,DimRopa[SKU],DimRopa[[Prenda]:[Costo_Fabricacion]])</f>
        <v>Cargo Pants Olive</v>
      </c>
      <c r="H115" s="9" t="s">
        <v>25</v>
      </c>
      <c r="I115" s="10">
        <v>380.0</v>
      </c>
      <c r="J115" s="10">
        <f t="shared" si="1"/>
        <v>282.6</v>
      </c>
      <c r="K115" s="9" t="str">
        <f t="shared" si="2"/>
        <v>Alta</v>
      </c>
    </row>
    <row r="116" ht="15.75" customHeight="1">
      <c r="A116" s="4" t="s">
        <v>192</v>
      </c>
      <c r="B116" s="4" t="s">
        <v>190</v>
      </c>
      <c r="C116" s="4" t="s">
        <v>45</v>
      </c>
      <c r="D116" s="4" t="s">
        <v>37</v>
      </c>
      <c r="E116" s="4" t="s">
        <v>38</v>
      </c>
      <c r="F116" s="8">
        <v>199.4</v>
      </c>
      <c r="G116" s="9" t="str">
        <f t="array" ref="G116:I116">XLOOKUP(C116,DimRopa[SKU],DimRopa[[Prenda]:[Costo_Fabricacion]])</f>
        <v>Camiseta Graphic Print</v>
      </c>
      <c r="H116" s="9" t="s">
        <v>47</v>
      </c>
      <c r="I116" s="10">
        <v>120.0</v>
      </c>
      <c r="J116" s="10">
        <f t="shared" si="1"/>
        <v>79.4</v>
      </c>
      <c r="K116" s="9" t="str">
        <f t="shared" si="2"/>
        <v>Regular</v>
      </c>
    </row>
    <row r="117" ht="15.75" customHeight="1">
      <c r="A117" s="4" t="s">
        <v>193</v>
      </c>
      <c r="B117" s="4" t="s">
        <v>194</v>
      </c>
      <c r="C117" s="4" t="s">
        <v>50</v>
      </c>
      <c r="D117" s="4" t="s">
        <v>71</v>
      </c>
      <c r="E117" s="4" t="s">
        <v>38</v>
      </c>
      <c r="F117" s="8">
        <v>130.23</v>
      </c>
      <c r="G117" s="9" t="str">
        <f t="array" ref="G117:I117">XLOOKUP(C117,DimRopa[SKU],DimRopa[[Prenda]:[Costo_Fabricacion]])</f>
        <v>Beanie Beis</v>
      </c>
      <c r="H117" s="9" t="s">
        <v>52</v>
      </c>
      <c r="I117" s="10">
        <v>80.0</v>
      </c>
      <c r="J117" s="10">
        <f t="shared" si="1"/>
        <v>50.23</v>
      </c>
      <c r="K117" s="9" t="str">
        <f t="shared" si="2"/>
        <v>Regular</v>
      </c>
    </row>
    <row r="118" ht="15.75" customHeight="1">
      <c r="A118" s="4" t="s">
        <v>195</v>
      </c>
      <c r="B118" s="4" t="s">
        <v>194</v>
      </c>
      <c r="C118" s="4" t="s">
        <v>20</v>
      </c>
      <c r="D118" s="4" t="s">
        <v>81</v>
      </c>
      <c r="E118" s="4" t="s">
        <v>59</v>
      </c>
      <c r="F118" s="8">
        <v>630.3</v>
      </c>
      <c r="G118" s="9" t="str">
        <f t="array" ref="G118:I118">XLOOKUP(C118,DimRopa[SKU],DimRopa[[Prenda]:[Costo_Fabricacion]])</f>
        <v>Jeans Baggy Light Indigo</v>
      </c>
      <c r="H118" s="9" t="s">
        <v>25</v>
      </c>
      <c r="I118" s="10">
        <v>350.0</v>
      </c>
      <c r="J118" s="10">
        <f t="shared" si="1"/>
        <v>280.3</v>
      </c>
      <c r="K118" s="9" t="str">
        <f t="shared" si="2"/>
        <v>Alta</v>
      </c>
    </row>
    <row r="119" ht="15.75" customHeight="1">
      <c r="A119" s="4" t="s">
        <v>196</v>
      </c>
      <c r="B119" s="4" t="s">
        <v>194</v>
      </c>
      <c r="C119" s="4" t="s">
        <v>50</v>
      </c>
      <c r="D119" s="4" t="s">
        <v>71</v>
      </c>
      <c r="E119" s="4" t="s">
        <v>38</v>
      </c>
      <c r="F119" s="8">
        <v>129.16</v>
      </c>
      <c r="G119" s="9" t="str">
        <f t="array" ref="G119:I119">XLOOKUP(C119,DimRopa[SKU],DimRopa[[Prenda]:[Costo_Fabricacion]])</f>
        <v>Beanie Beis</v>
      </c>
      <c r="H119" s="9" t="s">
        <v>52</v>
      </c>
      <c r="I119" s="10">
        <v>80.0</v>
      </c>
      <c r="J119" s="10">
        <f t="shared" si="1"/>
        <v>49.16</v>
      </c>
      <c r="K119" s="9" t="str">
        <f t="shared" si="2"/>
        <v>Regular</v>
      </c>
    </row>
    <row r="120" ht="15.75" customHeight="1">
      <c r="A120" s="4" t="s">
        <v>197</v>
      </c>
      <c r="B120" s="4" t="s">
        <v>194</v>
      </c>
      <c r="C120" s="4" t="s">
        <v>27</v>
      </c>
      <c r="D120" s="4" t="s">
        <v>58</v>
      </c>
      <c r="E120" s="4" t="s">
        <v>38</v>
      </c>
      <c r="F120" s="8">
        <v>556.12</v>
      </c>
      <c r="G120" s="9" t="str">
        <f t="array" ref="G120:I120">XLOOKUP(C120,DimRopa[SKU],DimRopa[[Prenda]:[Costo_Fabricacion]])</f>
        <v>Jeans Relaxed Fit Dark</v>
      </c>
      <c r="H120" s="9" t="s">
        <v>25</v>
      </c>
      <c r="I120" s="10">
        <v>320.0</v>
      </c>
      <c r="J120" s="10">
        <f t="shared" si="1"/>
        <v>236.12</v>
      </c>
      <c r="K120" s="9" t="str">
        <f t="shared" si="2"/>
        <v>Regular</v>
      </c>
    </row>
    <row r="121" ht="15.75" customHeight="1">
      <c r="A121" s="4" t="s">
        <v>198</v>
      </c>
      <c r="B121" s="4" t="s">
        <v>194</v>
      </c>
      <c r="C121" s="4" t="s">
        <v>39</v>
      </c>
      <c r="D121" s="4" t="s">
        <v>54</v>
      </c>
      <c r="E121" s="4" t="s">
        <v>55</v>
      </c>
      <c r="F121" s="8">
        <v>536.73</v>
      </c>
      <c r="G121" s="9" t="str">
        <f t="array" ref="G121:I121">XLOOKUP(C121,DimRopa[SKU],DimRopa[[Prenda]:[Costo_Fabricacion]])</f>
        <v>Hoodie Oversize Black</v>
      </c>
      <c r="H121" s="9" t="s">
        <v>41</v>
      </c>
      <c r="I121" s="10">
        <v>280.0</v>
      </c>
      <c r="J121" s="10">
        <f t="shared" si="1"/>
        <v>256.73</v>
      </c>
      <c r="K121" s="9" t="str">
        <f t="shared" si="2"/>
        <v>Alta</v>
      </c>
    </row>
    <row r="122" ht="15.75" customHeight="1">
      <c r="A122" s="4" t="s">
        <v>199</v>
      </c>
      <c r="B122" s="4" t="s">
        <v>194</v>
      </c>
      <c r="C122" s="4" t="s">
        <v>42</v>
      </c>
      <c r="D122" s="4" t="s">
        <v>37</v>
      </c>
      <c r="E122" s="4" t="s">
        <v>59</v>
      </c>
      <c r="F122" s="8">
        <v>635.57</v>
      </c>
      <c r="G122" s="9" t="str">
        <f t="array" ref="G122:I122">XLOOKUP(C122,DimRopa[SKU],DimRopa[[Prenda]:[Costo_Fabricacion]])</f>
        <v>Sneakers Chunky White</v>
      </c>
      <c r="H122" s="9" t="s">
        <v>44</v>
      </c>
      <c r="I122" s="10">
        <v>450.0</v>
      </c>
      <c r="J122" s="10">
        <f t="shared" si="1"/>
        <v>185.57</v>
      </c>
      <c r="K122" s="9" t="str">
        <f t="shared" si="2"/>
        <v>Regular</v>
      </c>
    </row>
    <row r="123" ht="15.75" customHeight="1">
      <c r="A123" s="4" t="s">
        <v>200</v>
      </c>
      <c r="B123" s="4" t="s">
        <v>194</v>
      </c>
      <c r="C123" s="4" t="s">
        <v>33</v>
      </c>
      <c r="D123" s="4" t="s">
        <v>81</v>
      </c>
      <c r="E123" s="4" t="s">
        <v>59</v>
      </c>
      <c r="F123" s="8">
        <v>1056.01</v>
      </c>
      <c r="G123" s="9" t="str">
        <f t="array" ref="G123:I123">XLOOKUP(C123,DimRopa[SKU],DimRopa[[Prenda]:[Costo_Fabricacion]])</f>
        <v>Chaqueta Double-Faced</v>
      </c>
      <c r="H123" s="9" t="s">
        <v>36</v>
      </c>
      <c r="I123" s="10">
        <v>650.0</v>
      </c>
      <c r="J123" s="10">
        <f t="shared" si="1"/>
        <v>406.01</v>
      </c>
      <c r="K123" s="9" t="str">
        <f t="shared" si="2"/>
        <v>Alta</v>
      </c>
    </row>
    <row r="124" ht="15.75" customHeight="1">
      <c r="A124" s="4" t="s">
        <v>201</v>
      </c>
      <c r="B124" s="4" t="s">
        <v>202</v>
      </c>
      <c r="C124" s="4" t="s">
        <v>48</v>
      </c>
      <c r="D124" s="4" t="s">
        <v>37</v>
      </c>
      <c r="E124" s="4" t="s">
        <v>55</v>
      </c>
      <c r="F124" s="8">
        <v>730.56</v>
      </c>
      <c r="G124" s="9" t="str">
        <f t="array" ref="G124:I124">XLOOKUP(C124,DimRopa[SKU],DimRopa[[Prenda]:[Costo_Fabricacion]])</f>
        <v>Cargo Pants Olive</v>
      </c>
      <c r="H124" s="9" t="s">
        <v>25</v>
      </c>
      <c r="I124" s="10">
        <v>380.0</v>
      </c>
      <c r="J124" s="10">
        <f t="shared" si="1"/>
        <v>350.56</v>
      </c>
      <c r="K124" s="9" t="str">
        <f t="shared" si="2"/>
        <v>Alta</v>
      </c>
    </row>
    <row r="125" ht="15.75" customHeight="1">
      <c r="A125" s="4" t="s">
        <v>203</v>
      </c>
      <c r="B125" s="4" t="s">
        <v>202</v>
      </c>
      <c r="C125" s="4" t="s">
        <v>48</v>
      </c>
      <c r="D125" s="4" t="s">
        <v>37</v>
      </c>
      <c r="E125" s="4" t="s">
        <v>38</v>
      </c>
      <c r="F125" s="8">
        <v>753.23</v>
      </c>
      <c r="G125" s="9" t="str">
        <f t="array" ref="G125:I125">XLOOKUP(C125,DimRopa[SKU],DimRopa[[Prenda]:[Costo_Fabricacion]])</f>
        <v>Cargo Pants Olive</v>
      </c>
      <c r="H125" s="9" t="s">
        <v>25</v>
      </c>
      <c r="I125" s="10">
        <v>380.0</v>
      </c>
      <c r="J125" s="10">
        <f t="shared" si="1"/>
        <v>373.23</v>
      </c>
      <c r="K125" s="9" t="str">
        <f t="shared" si="2"/>
        <v>Alta</v>
      </c>
    </row>
    <row r="126" ht="15.75" customHeight="1">
      <c r="A126" s="4" t="s">
        <v>204</v>
      </c>
      <c r="B126" s="4" t="s">
        <v>202</v>
      </c>
      <c r="C126" s="4" t="s">
        <v>39</v>
      </c>
      <c r="D126" s="4" t="s">
        <v>81</v>
      </c>
      <c r="E126" s="4" t="s">
        <v>38</v>
      </c>
      <c r="F126" s="8">
        <v>555.3</v>
      </c>
      <c r="G126" s="9" t="str">
        <f t="array" ref="G126:I126">XLOOKUP(C126,DimRopa[SKU],DimRopa[[Prenda]:[Costo_Fabricacion]])</f>
        <v>Hoodie Oversize Black</v>
      </c>
      <c r="H126" s="9" t="s">
        <v>41</v>
      </c>
      <c r="I126" s="10">
        <v>280.0</v>
      </c>
      <c r="J126" s="10">
        <f t="shared" si="1"/>
        <v>275.3</v>
      </c>
      <c r="K126" s="9" t="str">
        <f t="shared" si="2"/>
        <v>Alta</v>
      </c>
    </row>
    <row r="127" ht="15.75" customHeight="1">
      <c r="A127" s="4" t="s">
        <v>205</v>
      </c>
      <c r="B127" s="4" t="s">
        <v>202</v>
      </c>
      <c r="C127" s="4" t="s">
        <v>48</v>
      </c>
      <c r="D127" s="4" t="s">
        <v>81</v>
      </c>
      <c r="E127" s="4" t="s">
        <v>38</v>
      </c>
      <c r="F127" s="8">
        <v>669.65</v>
      </c>
      <c r="G127" s="9" t="str">
        <f t="array" ref="G127:I127">XLOOKUP(C127,DimRopa[SKU],DimRopa[[Prenda]:[Costo_Fabricacion]])</f>
        <v>Cargo Pants Olive</v>
      </c>
      <c r="H127" s="9" t="s">
        <v>25</v>
      </c>
      <c r="I127" s="10">
        <v>380.0</v>
      </c>
      <c r="J127" s="10">
        <f t="shared" si="1"/>
        <v>289.65</v>
      </c>
      <c r="K127" s="9" t="str">
        <f t="shared" si="2"/>
        <v>Alta</v>
      </c>
    </row>
    <row r="128" ht="15.75" customHeight="1">
      <c r="A128" s="4" t="s">
        <v>206</v>
      </c>
      <c r="B128" s="4" t="s">
        <v>202</v>
      </c>
      <c r="C128" s="4" t="s">
        <v>42</v>
      </c>
      <c r="D128" s="4" t="s">
        <v>37</v>
      </c>
      <c r="E128" s="4" t="s">
        <v>38</v>
      </c>
      <c r="F128" s="8">
        <v>897.79</v>
      </c>
      <c r="G128" s="9" t="str">
        <f t="array" ref="G128:I128">XLOOKUP(C128,DimRopa[SKU],DimRopa[[Prenda]:[Costo_Fabricacion]])</f>
        <v>Sneakers Chunky White</v>
      </c>
      <c r="H128" s="9" t="s">
        <v>44</v>
      </c>
      <c r="I128" s="10">
        <v>450.0</v>
      </c>
      <c r="J128" s="10">
        <f t="shared" si="1"/>
        <v>447.79</v>
      </c>
      <c r="K128" s="9" t="str">
        <f t="shared" si="2"/>
        <v>Alta</v>
      </c>
    </row>
    <row r="129" ht="15.75" customHeight="1">
      <c r="A129" s="4" t="s">
        <v>207</v>
      </c>
      <c r="B129" s="4" t="s">
        <v>202</v>
      </c>
      <c r="C129" s="4" t="s">
        <v>39</v>
      </c>
      <c r="D129" s="4" t="s">
        <v>54</v>
      </c>
      <c r="E129" s="4" t="s">
        <v>38</v>
      </c>
      <c r="F129" s="8">
        <v>538.87</v>
      </c>
      <c r="G129" s="9" t="str">
        <f t="array" ref="G129:I129">XLOOKUP(C129,DimRopa[SKU],DimRopa[[Prenda]:[Costo_Fabricacion]])</f>
        <v>Hoodie Oversize Black</v>
      </c>
      <c r="H129" s="9" t="s">
        <v>41</v>
      </c>
      <c r="I129" s="10">
        <v>280.0</v>
      </c>
      <c r="J129" s="10">
        <f t="shared" si="1"/>
        <v>258.87</v>
      </c>
      <c r="K129" s="9" t="str">
        <f t="shared" si="2"/>
        <v>Alta</v>
      </c>
    </row>
    <row r="130" ht="15.75" customHeight="1">
      <c r="A130" s="4" t="s">
        <v>208</v>
      </c>
      <c r="B130" s="4" t="s">
        <v>202</v>
      </c>
      <c r="C130" s="4" t="s">
        <v>33</v>
      </c>
      <c r="D130" s="4" t="s">
        <v>54</v>
      </c>
      <c r="E130" s="4" t="s">
        <v>59</v>
      </c>
      <c r="F130" s="8">
        <v>965.02</v>
      </c>
      <c r="G130" s="9" t="str">
        <f t="array" ref="G130:I130">XLOOKUP(C130,DimRopa[SKU],DimRopa[[Prenda]:[Costo_Fabricacion]])</f>
        <v>Chaqueta Double-Faced</v>
      </c>
      <c r="H130" s="9" t="s">
        <v>36</v>
      </c>
      <c r="I130" s="10">
        <v>650.0</v>
      </c>
      <c r="J130" s="10">
        <f t="shared" si="1"/>
        <v>315.02</v>
      </c>
      <c r="K130" s="9" t="str">
        <f t="shared" si="2"/>
        <v>Alta</v>
      </c>
    </row>
    <row r="131" ht="15.75" customHeight="1">
      <c r="A131" s="4" t="s">
        <v>209</v>
      </c>
      <c r="B131" s="4" t="s">
        <v>202</v>
      </c>
      <c r="C131" s="4" t="s">
        <v>50</v>
      </c>
      <c r="D131" s="4" t="s">
        <v>71</v>
      </c>
      <c r="E131" s="4" t="s">
        <v>59</v>
      </c>
      <c r="F131" s="8">
        <v>120.14</v>
      </c>
      <c r="G131" s="9" t="str">
        <f t="array" ref="G131:I131">XLOOKUP(C131,DimRopa[SKU],DimRopa[[Prenda]:[Costo_Fabricacion]])</f>
        <v>Beanie Beis</v>
      </c>
      <c r="H131" s="9" t="s">
        <v>52</v>
      </c>
      <c r="I131" s="10">
        <v>80.0</v>
      </c>
      <c r="J131" s="10">
        <f t="shared" si="1"/>
        <v>40.14</v>
      </c>
      <c r="K131" s="9" t="str">
        <f t="shared" si="2"/>
        <v>Regular</v>
      </c>
    </row>
    <row r="132" ht="15.75" customHeight="1">
      <c r="A132" s="4" t="s">
        <v>210</v>
      </c>
      <c r="B132" s="4" t="s">
        <v>202</v>
      </c>
      <c r="C132" s="4" t="s">
        <v>33</v>
      </c>
      <c r="D132" s="4" t="s">
        <v>81</v>
      </c>
      <c r="E132" s="4" t="s">
        <v>38</v>
      </c>
      <c r="F132" s="8">
        <v>1075.11</v>
      </c>
      <c r="G132" s="9" t="str">
        <f t="array" ref="G132:I132">XLOOKUP(C132,DimRopa[SKU],DimRopa[[Prenda]:[Costo_Fabricacion]])</f>
        <v>Chaqueta Double-Faced</v>
      </c>
      <c r="H132" s="9" t="s">
        <v>36</v>
      </c>
      <c r="I132" s="10">
        <v>650.0</v>
      </c>
      <c r="J132" s="10">
        <f t="shared" si="1"/>
        <v>425.11</v>
      </c>
      <c r="K132" s="9" t="str">
        <f t="shared" si="2"/>
        <v>Alta</v>
      </c>
    </row>
    <row r="133" ht="15.75" customHeight="1">
      <c r="A133" s="4" t="s">
        <v>211</v>
      </c>
      <c r="B133" s="4" t="s">
        <v>202</v>
      </c>
      <c r="C133" s="4" t="s">
        <v>33</v>
      </c>
      <c r="D133" s="4" t="s">
        <v>81</v>
      </c>
      <c r="E133" s="4" t="s">
        <v>55</v>
      </c>
      <c r="F133" s="8">
        <v>968.12</v>
      </c>
      <c r="G133" s="9" t="str">
        <f t="array" ref="G133:I133">XLOOKUP(C133,DimRopa[SKU],DimRopa[[Prenda]:[Costo_Fabricacion]])</f>
        <v>Chaqueta Double-Faced</v>
      </c>
      <c r="H133" s="9" t="s">
        <v>36</v>
      </c>
      <c r="I133" s="10">
        <v>650.0</v>
      </c>
      <c r="J133" s="10">
        <f t="shared" si="1"/>
        <v>318.12</v>
      </c>
      <c r="K133" s="9" t="str">
        <f t="shared" si="2"/>
        <v>Alta</v>
      </c>
    </row>
    <row r="134" ht="15.75" customHeight="1">
      <c r="A134" s="4" t="s">
        <v>212</v>
      </c>
      <c r="B134" s="4" t="s">
        <v>213</v>
      </c>
      <c r="C134" s="4" t="s">
        <v>20</v>
      </c>
      <c r="D134" s="4" t="s">
        <v>37</v>
      </c>
      <c r="E134" s="4" t="s">
        <v>59</v>
      </c>
      <c r="F134" s="8">
        <v>670.93</v>
      </c>
      <c r="G134" s="9" t="str">
        <f t="array" ref="G134:I134">XLOOKUP(C134,DimRopa[SKU],DimRopa[[Prenda]:[Costo_Fabricacion]])</f>
        <v>Jeans Baggy Light Indigo</v>
      </c>
      <c r="H134" s="9" t="s">
        <v>25</v>
      </c>
      <c r="I134" s="10">
        <v>350.0</v>
      </c>
      <c r="J134" s="10">
        <f t="shared" si="1"/>
        <v>320.93</v>
      </c>
      <c r="K134" s="9" t="str">
        <f t="shared" si="2"/>
        <v>Alta</v>
      </c>
    </row>
    <row r="135" ht="15.75" customHeight="1">
      <c r="A135" s="4" t="s">
        <v>214</v>
      </c>
      <c r="B135" s="4" t="s">
        <v>213</v>
      </c>
      <c r="C135" s="4" t="s">
        <v>48</v>
      </c>
      <c r="D135" s="4" t="s">
        <v>81</v>
      </c>
      <c r="E135" s="4" t="s">
        <v>59</v>
      </c>
      <c r="F135" s="8">
        <v>660.0</v>
      </c>
      <c r="G135" s="9" t="str">
        <f t="array" ref="G135:I135">XLOOKUP(C135,DimRopa[SKU],DimRopa[[Prenda]:[Costo_Fabricacion]])</f>
        <v>Cargo Pants Olive</v>
      </c>
      <c r="H135" s="9" t="s">
        <v>25</v>
      </c>
      <c r="I135" s="10">
        <v>380.0</v>
      </c>
      <c r="J135" s="10">
        <f t="shared" si="1"/>
        <v>280</v>
      </c>
      <c r="K135" s="9" t="str">
        <f t="shared" si="2"/>
        <v>Alta</v>
      </c>
    </row>
    <row r="136" ht="15.75" customHeight="1">
      <c r="A136" s="4" t="s">
        <v>215</v>
      </c>
      <c r="B136" s="4" t="s">
        <v>213</v>
      </c>
      <c r="C136" s="4" t="s">
        <v>39</v>
      </c>
      <c r="D136" s="4" t="s">
        <v>81</v>
      </c>
      <c r="E136" s="4" t="s">
        <v>55</v>
      </c>
      <c r="F136" s="8">
        <v>549.62</v>
      </c>
      <c r="G136" s="9" t="str">
        <f t="array" ref="G136:I136">XLOOKUP(C136,DimRopa[SKU],DimRopa[[Prenda]:[Costo_Fabricacion]])</f>
        <v>Hoodie Oversize Black</v>
      </c>
      <c r="H136" s="9" t="s">
        <v>41</v>
      </c>
      <c r="I136" s="10">
        <v>280.0</v>
      </c>
      <c r="J136" s="10">
        <f t="shared" si="1"/>
        <v>269.62</v>
      </c>
      <c r="K136" s="9" t="str">
        <f t="shared" si="2"/>
        <v>Alta</v>
      </c>
    </row>
    <row r="137" ht="15.75" customHeight="1">
      <c r="A137" s="4" t="s">
        <v>216</v>
      </c>
      <c r="B137" s="4" t="s">
        <v>213</v>
      </c>
      <c r="C137" s="4" t="s">
        <v>20</v>
      </c>
      <c r="D137" s="4" t="s">
        <v>58</v>
      </c>
      <c r="E137" s="4" t="s">
        <v>38</v>
      </c>
      <c r="F137" s="8">
        <v>657.86</v>
      </c>
      <c r="G137" s="9" t="str">
        <f t="array" ref="G137:I137">XLOOKUP(C137,DimRopa[SKU],DimRopa[[Prenda]:[Costo_Fabricacion]])</f>
        <v>Jeans Baggy Light Indigo</v>
      </c>
      <c r="H137" s="9" t="s">
        <v>25</v>
      </c>
      <c r="I137" s="10">
        <v>350.0</v>
      </c>
      <c r="J137" s="10">
        <f t="shared" si="1"/>
        <v>307.86</v>
      </c>
      <c r="K137" s="9" t="str">
        <f t="shared" si="2"/>
        <v>Alta</v>
      </c>
    </row>
    <row r="138" ht="15.75" customHeight="1">
      <c r="A138" s="4" t="s">
        <v>217</v>
      </c>
      <c r="B138" s="4" t="s">
        <v>213</v>
      </c>
      <c r="C138" s="4" t="s">
        <v>20</v>
      </c>
      <c r="D138" s="4" t="s">
        <v>54</v>
      </c>
      <c r="E138" s="4" t="s">
        <v>38</v>
      </c>
      <c r="F138" s="8">
        <v>541.86</v>
      </c>
      <c r="G138" s="9" t="str">
        <f t="array" ref="G138:I138">XLOOKUP(C138,DimRopa[SKU],DimRopa[[Prenda]:[Costo_Fabricacion]])</f>
        <v>Jeans Baggy Light Indigo</v>
      </c>
      <c r="H138" s="9" t="s">
        <v>25</v>
      </c>
      <c r="I138" s="10">
        <v>350.0</v>
      </c>
      <c r="J138" s="10">
        <f t="shared" si="1"/>
        <v>191.86</v>
      </c>
      <c r="K138" s="9" t="str">
        <f t="shared" si="2"/>
        <v>Regular</v>
      </c>
    </row>
    <row r="139" ht="15.75" customHeight="1">
      <c r="A139" s="4" t="s">
        <v>218</v>
      </c>
      <c r="B139" s="4" t="s">
        <v>213</v>
      </c>
      <c r="C139" s="4" t="s">
        <v>33</v>
      </c>
      <c r="D139" s="4" t="s">
        <v>54</v>
      </c>
      <c r="E139" s="4" t="s">
        <v>55</v>
      </c>
      <c r="F139" s="8">
        <v>1174.51</v>
      </c>
      <c r="G139" s="9" t="str">
        <f t="array" ref="G139:I139">XLOOKUP(C139,DimRopa[SKU],DimRopa[[Prenda]:[Costo_Fabricacion]])</f>
        <v>Chaqueta Double-Faced</v>
      </c>
      <c r="H139" s="9" t="s">
        <v>36</v>
      </c>
      <c r="I139" s="10">
        <v>650.0</v>
      </c>
      <c r="J139" s="10">
        <f t="shared" si="1"/>
        <v>524.51</v>
      </c>
      <c r="K139" s="9" t="str">
        <f t="shared" si="2"/>
        <v>Alta</v>
      </c>
    </row>
    <row r="140" ht="15.75" customHeight="1">
      <c r="A140" s="4" t="s">
        <v>219</v>
      </c>
      <c r="B140" s="4" t="s">
        <v>213</v>
      </c>
      <c r="C140" s="4" t="s">
        <v>45</v>
      </c>
      <c r="D140" s="4" t="s">
        <v>54</v>
      </c>
      <c r="E140" s="4" t="s">
        <v>59</v>
      </c>
      <c r="F140" s="8">
        <v>191.54</v>
      </c>
      <c r="G140" s="9" t="str">
        <f t="array" ref="G140:I140">XLOOKUP(C140,DimRopa[SKU],DimRopa[[Prenda]:[Costo_Fabricacion]])</f>
        <v>Camiseta Graphic Print</v>
      </c>
      <c r="H140" s="9" t="s">
        <v>47</v>
      </c>
      <c r="I140" s="10">
        <v>120.0</v>
      </c>
      <c r="J140" s="10">
        <f t="shared" si="1"/>
        <v>71.54</v>
      </c>
      <c r="K140" s="9" t="str">
        <f t="shared" si="2"/>
        <v>Regular</v>
      </c>
    </row>
    <row r="141" ht="15.75" customHeight="1">
      <c r="A141" s="4" t="s">
        <v>220</v>
      </c>
      <c r="B141" s="4" t="s">
        <v>213</v>
      </c>
      <c r="C141" s="4" t="s">
        <v>27</v>
      </c>
      <c r="D141" s="4" t="s">
        <v>37</v>
      </c>
      <c r="E141" s="4" t="s">
        <v>38</v>
      </c>
      <c r="F141" s="8">
        <v>548.7</v>
      </c>
      <c r="G141" s="9" t="str">
        <f t="array" ref="G141:I141">XLOOKUP(C141,DimRopa[SKU],DimRopa[[Prenda]:[Costo_Fabricacion]])</f>
        <v>Jeans Relaxed Fit Dark</v>
      </c>
      <c r="H141" s="9" t="s">
        <v>25</v>
      </c>
      <c r="I141" s="10">
        <v>320.0</v>
      </c>
      <c r="J141" s="10">
        <f t="shared" si="1"/>
        <v>228.7</v>
      </c>
      <c r="K141" s="9" t="str">
        <f t="shared" si="2"/>
        <v>Regular</v>
      </c>
    </row>
    <row r="142" ht="15.75" customHeight="1">
      <c r="A142" s="4" t="s">
        <v>221</v>
      </c>
      <c r="B142" s="4" t="s">
        <v>213</v>
      </c>
      <c r="C142" s="4" t="s">
        <v>39</v>
      </c>
      <c r="D142" s="4" t="s">
        <v>58</v>
      </c>
      <c r="E142" s="4" t="s">
        <v>59</v>
      </c>
      <c r="F142" s="8">
        <v>410.74</v>
      </c>
      <c r="G142" s="9" t="str">
        <f t="array" ref="G142:I142">XLOOKUP(C142,DimRopa[SKU],DimRopa[[Prenda]:[Costo_Fabricacion]])</f>
        <v>Hoodie Oversize Black</v>
      </c>
      <c r="H142" s="9" t="s">
        <v>41</v>
      </c>
      <c r="I142" s="10">
        <v>280.0</v>
      </c>
      <c r="J142" s="10">
        <f t="shared" si="1"/>
        <v>130.74</v>
      </c>
      <c r="K142" s="9" t="str">
        <f t="shared" si="2"/>
        <v>Regular</v>
      </c>
    </row>
    <row r="143" ht="15.75" customHeight="1">
      <c r="A143" s="4" t="s">
        <v>222</v>
      </c>
      <c r="B143" s="4" t="s">
        <v>223</v>
      </c>
      <c r="C143" s="4" t="s">
        <v>39</v>
      </c>
      <c r="D143" s="4" t="s">
        <v>37</v>
      </c>
      <c r="E143" s="4" t="s">
        <v>55</v>
      </c>
      <c r="F143" s="8">
        <v>521.89</v>
      </c>
      <c r="G143" s="9" t="str">
        <f t="array" ref="G143:I143">XLOOKUP(C143,DimRopa[SKU],DimRopa[[Prenda]:[Costo_Fabricacion]])</f>
        <v>Hoodie Oversize Black</v>
      </c>
      <c r="H143" s="9" t="s">
        <v>41</v>
      </c>
      <c r="I143" s="10">
        <v>280.0</v>
      </c>
      <c r="J143" s="10">
        <f t="shared" si="1"/>
        <v>241.89</v>
      </c>
      <c r="K143" s="9" t="str">
        <f t="shared" si="2"/>
        <v>Regular</v>
      </c>
    </row>
    <row r="144" ht="15.75" customHeight="1">
      <c r="A144" s="4" t="s">
        <v>224</v>
      </c>
      <c r="B144" s="4" t="s">
        <v>223</v>
      </c>
      <c r="C144" s="4" t="s">
        <v>48</v>
      </c>
      <c r="D144" s="4" t="s">
        <v>81</v>
      </c>
      <c r="E144" s="4" t="s">
        <v>59</v>
      </c>
      <c r="F144" s="8">
        <v>749.59</v>
      </c>
      <c r="G144" s="9" t="str">
        <f t="array" ref="G144:I144">XLOOKUP(C144,DimRopa[SKU],DimRopa[[Prenda]:[Costo_Fabricacion]])</f>
        <v>Cargo Pants Olive</v>
      </c>
      <c r="H144" s="9" t="s">
        <v>25</v>
      </c>
      <c r="I144" s="10">
        <v>380.0</v>
      </c>
      <c r="J144" s="10">
        <f t="shared" si="1"/>
        <v>369.59</v>
      </c>
      <c r="K144" s="9" t="str">
        <f t="shared" si="2"/>
        <v>Alta</v>
      </c>
    </row>
    <row r="145" ht="15.75" customHeight="1">
      <c r="A145" s="4" t="s">
        <v>225</v>
      </c>
      <c r="B145" s="4" t="s">
        <v>223</v>
      </c>
      <c r="C145" s="4" t="s">
        <v>42</v>
      </c>
      <c r="D145" s="4" t="s">
        <v>37</v>
      </c>
      <c r="E145" s="4" t="s">
        <v>59</v>
      </c>
      <c r="F145" s="8">
        <v>810.31</v>
      </c>
      <c r="G145" s="9" t="str">
        <f t="array" ref="G145:I145">XLOOKUP(C145,DimRopa[SKU],DimRopa[[Prenda]:[Costo_Fabricacion]])</f>
        <v>Sneakers Chunky White</v>
      </c>
      <c r="H145" s="9" t="s">
        <v>44</v>
      </c>
      <c r="I145" s="10">
        <v>450.0</v>
      </c>
      <c r="J145" s="10">
        <f t="shared" si="1"/>
        <v>360.31</v>
      </c>
      <c r="K145" s="9" t="str">
        <f t="shared" si="2"/>
        <v>Alta</v>
      </c>
    </row>
    <row r="146" ht="15.75" customHeight="1">
      <c r="A146" s="4" t="s">
        <v>226</v>
      </c>
      <c r="B146" s="4" t="s">
        <v>223</v>
      </c>
      <c r="C146" s="4" t="s">
        <v>45</v>
      </c>
      <c r="D146" s="4" t="s">
        <v>37</v>
      </c>
      <c r="E146" s="4" t="s">
        <v>38</v>
      </c>
      <c r="F146" s="8">
        <v>226.39</v>
      </c>
      <c r="G146" s="9" t="str">
        <f t="array" ref="G146:I146">XLOOKUP(C146,DimRopa[SKU],DimRopa[[Prenda]:[Costo_Fabricacion]])</f>
        <v>Camiseta Graphic Print</v>
      </c>
      <c r="H146" s="9" t="s">
        <v>47</v>
      </c>
      <c r="I146" s="10">
        <v>120.0</v>
      </c>
      <c r="J146" s="10">
        <f t="shared" si="1"/>
        <v>106.39</v>
      </c>
      <c r="K146" s="9" t="str">
        <f t="shared" si="2"/>
        <v>Regular</v>
      </c>
    </row>
    <row r="147" ht="15.75" customHeight="1">
      <c r="A147" s="4" t="s">
        <v>227</v>
      </c>
      <c r="B147" s="4" t="s">
        <v>223</v>
      </c>
      <c r="C147" s="4" t="s">
        <v>50</v>
      </c>
      <c r="D147" s="4" t="s">
        <v>71</v>
      </c>
      <c r="E147" s="4" t="s">
        <v>38</v>
      </c>
      <c r="F147" s="8">
        <v>118.28</v>
      </c>
      <c r="G147" s="9" t="str">
        <f t="array" ref="G147:I147">XLOOKUP(C147,DimRopa[SKU],DimRopa[[Prenda]:[Costo_Fabricacion]])</f>
        <v>Beanie Beis</v>
      </c>
      <c r="H147" s="9" t="s">
        <v>52</v>
      </c>
      <c r="I147" s="10">
        <v>80.0</v>
      </c>
      <c r="J147" s="10">
        <f t="shared" si="1"/>
        <v>38.28</v>
      </c>
      <c r="K147" s="9" t="str">
        <f t="shared" si="2"/>
        <v>Regular</v>
      </c>
    </row>
    <row r="148" ht="15.75" customHeight="1">
      <c r="A148" s="4" t="s">
        <v>228</v>
      </c>
      <c r="B148" s="4" t="s">
        <v>223</v>
      </c>
      <c r="C148" s="4" t="s">
        <v>39</v>
      </c>
      <c r="D148" s="4" t="s">
        <v>81</v>
      </c>
      <c r="E148" s="4" t="s">
        <v>55</v>
      </c>
      <c r="F148" s="8">
        <v>502.3</v>
      </c>
      <c r="G148" s="9" t="str">
        <f t="array" ref="G148:I148">XLOOKUP(C148,DimRopa[SKU],DimRopa[[Prenda]:[Costo_Fabricacion]])</f>
        <v>Hoodie Oversize Black</v>
      </c>
      <c r="H148" s="9" t="s">
        <v>41</v>
      </c>
      <c r="I148" s="10">
        <v>280.0</v>
      </c>
      <c r="J148" s="10">
        <f t="shared" si="1"/>
        <v>222.3</v>
      </c>
      <c r="K148" s="9" t="str">
        <f t="shared" si="2"/>
        <v>Regular</v>
      </c>
    </row>
    <row r="149" ht="15.75" customHeight="1">
      <c r="A149" s="4" t="s">
        <v>229</v>
      </c>
      <c r="B149" s="4" t="s">
        <v>223</v>
      </c>
      <c r="C149" s="4" t="s">
        <v>42</v>
      </c>
      <c r="D149" s="4" t="s">
        <v>37</v>
      </c>
      <c r="E149" s="4" t="s">
        <v>59</v>
      </c>
      <c r="F149" s="8">
        <v>742.15</v>
      </c>
      <c r="G149" s="9" t="str">
        <f t="array" ref="G149:I149">XLOOKUP(C149,DimRopa[SKU],DimRopa[[Prenda]:[Costo_Fabricacion]])</f>
        <v>Sneakers Chunky White</v>
      </c>
      <c r="H149" s="9" t="s">
        <v>44</v>
      </c>
      <c r="I149" s="10">
        <v>450.0</v>
      </c>
      <c r="J149" s="10">
        <f t="shared" si="1"/>
        <v>292.15</v>
      </c>
      <c r="K149" s="9" t="str">
        <f t="shared" si="2"/>
        <v>Alta</v>
      </c>
    </row>
    <row r="150" ht="15.75" customHeight="1">
      <c r="A150" s="4" t="s">
        <v>230</v>
      </c>
      <c r="B150" s="4" t="s">
        <v>223</v>
      </c>
      <c r="C150" s="4" t="s">
        <v>48</v>
      </c>
      <c r="D150" s="4" t="s">
        <v>37</v>
      </c>
      <c r="E150" s="4" t="s">
        <v>55</v>
      </c>
      <c r="F150" s="8">
        <v>550.4</v>
      </c>
      <c r="G150" s="9" t="str">
        <f t="array" ref="G150:I150">XLOOKUP(C150,DimRopa[SKU],DimRopa[[Prenda]:[Costo_Fabricacion]])</f>
        <v>Cargo Pants Olive</v>
      </c>
      <c r="H150" s="9" t="s">
        <v>25</v>
      </c>
      <c r="I150" s="10">
        <v>380.0</v>
      </c>
      <c r="J150" s="10">
        <f t="shared" si="1"/>
        <v>170.4</v>
      </c>
      <c r="K150" s="9" t="str">
        <f t="shared" si="2"/>
        <v>Regular</v>
      </c>
    </row>
    <row r="151" ht="15.75" customHeight="1">
      <c r="A151" s="4" t="s">
        <v>231</v>
      </c>
      <c r="B151" s="4" t="s">
        <v>232</v>
      </c>
      <c r="C151" s="4" t="s">
        <v>39</v>
      </c>
      <c r="D151" s="4" t="s">
        <v>37</v>
      </c>
      <c r="E151" s="4" t="s">
        <v>38</v>
      </c>
      <c r="F151" s="8">
        <v>521.59</v>
      </c>
      <c r="G151" s="9" t="str">
        <f t="array" ref="G151:I151">XLOOKUP(C151,DimRopa[SKU],DimRopa[[Prenda]:[Costo_Fabricacion]])</f>
        <v>Hoodie Oversize Black</v>
      </c>
      <c r="H151" s="9" t="s">
        <v>41</v>
      </c>
      <c r="I151" s="10">
        <v>280.0</v>
      </c>
      <c r="J151" s="10">
        <f t="shared" si="1"/>
        <v>241.59</v>
      </c>
      <c r="K151" s="9" t="str">
        <f t="shared" si="2"/>
        <v>Regular</v>
      </c>
    </row>
    <row r="152" ht="15.75" customHeight="1">
      <c r="A152" s="4" t="s">
        <v>233</v>
      </c>
      <c r="B152" s="4" t="s">
        <v>232</v>
      </c>
      <c r="C152" s="4" t="s">
        <v>45</v>
      </c>
      <c r="D152" s="4" t="s">
        <v>37</v>
      </c>
      <c r="E152" s="4" t="s">
        <v>59</v>
      </c>
      <c r="F152" s="8">
        <v>216.55</v>
      </c>
      <c r="G152" s="9" t="str">
        <f t="array" ref="G152:I152">XLOOKUP(C152,DimRopa[SKU],DimRopa[[Prenda]:[Costo_Fabricacion]])</f>
        <v>Camiseta Graphic Print</v>
      </c>
      <c r="H152" s="9" t="s">
        <v>47</v>
      </c>
      <c r="I152" s="10">
        <v>120.0</v>
      </c>
      <c r="J152" s="10">
        <f t="shared" si="1"/>
        <v>96.55</v>
      </c>
      <c r="K152" s="9" t="str">
        <f t="shared" si="2"/>
        <v>Regular</v>
      </c>
    </row>
    <row r="153" ht="15.75" customHeight="1">
      <c r="A153" s="4" t="s">
        <v>234</v>
      </c>
      <c r="B153" s="4" t="s">
        <v>232</v>
      </c>
      <c r="C153" s="4" t="s">
        <v>20</v>
      </c>
      <c r="D153" s="4" t="s">
        <v>54</v>
      </c>
      <c r="E153" s="4" t="s">
        <v>59</v>
      </c>
      <c r="F153" s="8">
        <v>492.52</v>
      </c>
      <c r="G153" s="9" t="str">
        <f t="array" ref="G153:I153">XLOOKUP(C153,DimRopa[SKU],DimRopa[[Prenda]:[Costo_Fabricacion]])</f>
        <v>Jeans Baggy Light Indigo</v>
      </c>
      <c r="H153" s="9" t="s">
        <v>25</v>
      </c>
      <c r="I153" s="10">
        <v>350.0</v>
      </c>
      <c r="J153" s="10">
        <f t="shared" si="1"/>
        <v>142.52</v>
      </c>
      <c r="K153" s="9" t="str">
        <f t="shared" si="2"/>
        <v>Regular</v>
      </c>
    </row>
    <row r="154" ht="15.75" customHeight="1">
      <c r="A154" s="4" t="s">
        <v>235</v>
      </c>
      <c r="B154" s="4" t="s">
        <v>232</v>
      </c>
      <c r="C154" s="4" t="s">
        <v>27</v>
      </c>
      <c r="D154" s="4" t="s">
        <v>54</v>
      </c>
      <c r="E154" s="4" t="s">
        <v>55</v>
      </c>
      <c r="F154" s="8">
        <v>523.1</v>
      </c>
      <c r="G154" s="9" t="str">
        <f t="array" ref="G154:I154">XLOOKUP(C154,DimRopa[SKU],DimRopa[[Prenda]:[Costo_Fabricacion]])</f>
        <v>Jeans Relaxed Fit Dark</v>
      </c>
      <c r="H154" s="9" t="s">
        <v>25</v>
      </c>
      <c r="I154" s="10">
        <v>320.0</v>
      </c>
      <c r="J154" s="10">
        <f t="shared" si="1"/>
        <v>203.1</v>
      </c>
      <c r="K154" s="9" t="str">
        <f t="shared" si="2"/>
        <v>Regular</v>
      </c>
    </row>
    <row r="155" ht="15.75" customHeight="1">
      <c r="A155" s="4" t="s">
        <v>236</v>
      </c>
      <c r="B155" s="4" t="s">
        <v>232</v>
      </c>
      <c r="C155" s="4" t="s">
        <v>45</v>
      </c>
      <c r="D155" s="4" t="s">
        <v>81</v>
      </c>
      <c r="E155" s="4" t="s">
        <v>55</v>
      </c>
      <c r="F155" s="8">
        <v>208.2</v>
      </c>
      <c r="G155" s="9" t="str">
        <f t="array" ref="G155:I155">XLOOKUP(C155,DimRopa[SKU],DimRopa[[Prenda]:[Costo_Fabricacion]])</f>
        <v>Camiseta Graphic Print</v>
      </c>
      <c r="H155" s="9" t="s">
        <v>47</v>
      </c>
      <c r="I155" s="10">
        <v>120.0</v>
      </c>
      <c r="J155" s="10">
        <f t="shared" si="1"/>
        <v>88.2</v>
      </c>
      <c r="K155" s="9" t="str">
        <f t="shared" si="2"/>
        <v>Regular</v>
      </c>
    </row>
    <row r="156" ht="15.75" customHeight="1">
      <c r="A156" s="4" t="s">
        <v>237</v>
      </c>
      <c r="B156" s="4" t="s">
        <v>232</v>
      </c>
      <c r="C156" s="4" t="s">
        <v>33</v>
      </c>
      <c r="D156" s="4" t="s">
        <v>54</v>
      </c>
      <c r="E156" s="4" t="s">
        <v>59</v>
      </c>
      <c r="F156" s="8">
        <v>958.22</v>
      </c>
      <c r="G156" s="9" t="str">
        <f t="array" ref="G156:I156">XLOOKUP(C156,DimRopa[SKU],DimRopa[[Prenda]:[Costo_Fabricacion]])</f>
        <v>Chaqueta Double-Faced</v>
      </c>
      <c r="H156" s="9" t="s">
        <v>36</v>
      </c>
      <c r="I156" s="10">
        <v>650.0</v>
      </c>
      <c r="J156" s="10">
        <f t="shared" si="1"/>
        <v>308.22</v>
      </c>
      <c r="K156" s="9" t="str">
        <f t="shared" si="2"/>
        <v>Alta</v>
      </c>
    </row>
    <row r="157" ht="15.75" customHeight="1">
      <c r="A157" s="4" t="s">
        <v>238</v>
      </c>
      <c r="B157" s="4" t="s">
        <v>232</v>
      </c>
      <c r="C157" s="4" t="s">
        <v>48</v>
      </c>
      <c r="D157" s="4" t="s">
        <v>81</v>
      </c>
      <c r="E157" s="4" t="s">
        <v>38</v>
      </c>
      <c r="F157" s="8">
        <v>603.0</v>
      </c>
      <c r="G157" s="9" t="str">
        <f t="array" ref="G157:I157">XLOOKUP(C157,DimRopa[SKU],DimRopa[[Prenda]:[Costo_Fabricacion]])</f>
        <v>Cargo Pants Olive</v>
      </c>
      <c r="H157" s="9" t="s">
        <v>25</v>
      </c>
      <c r="I157" s="10">
        <v>380.0</v>
      </c>
      <c r="J157" s="10">
        <f t="shared" si="1"/>
        <v>223</v>
      </c>
      <c r="K157" s="9" t="str">
        <f t="shared" si="2"/>
        <v>Regular</v>
      </c>
    </row>
    <row r="158" ht="15.75" customHeight="1">
      <c r="A158" s="4" t="s">
        <v>239</v>
      </c>
      <c r="B158" s="4" t="s">
        <v>232</v>
      </c>
      <c r="C158" s="4" t="s">
        <v>27</v>
      </c>
      <c r="D158" s="4" t="s">
        <v>37</v>
      </c>
      <c r="E158" s="4" t="s">
        <v>55</v>
      </c>
      <c r="F158" s="8">
        <v>571.44</v>
      </c>
      <c r="G158" s="9" t="str">
        <f t="array" ref="G158:I158">XLOOKUP(C158,DimRopa[SKU],DimRopa[[Prenda]:[Costo_Fabricacion]])</f>
        <v>Jeans Relaxed Fit Dark</v>
      </c>
      <c r="H158" s="9" t="s">
        <v>25</v>
      </c>
      <c r="I158" s="10">
        <v>320.0</v>
      </c>
      <c r="J158" s="10">
        <f t="shared" si="1"/>
        <v>251.44</v>
      </c>
      <c r="K158" s="9" t="str">
        <f t="shared" si="2"/>
        <v>Alta</v>
      </c>
    </row>
    <row r="159" ht="15.75" customHeight="1">
      <c r="A159" s="4" t="s">
        <v>240</v>
      </c>
      <c r="B159" s="4" t="s">
        <v>241</v>
      </c>
      <c r="C159" s="4" t="s">
        <v>50</v>
      </c>
      <c r="D159" s="4" t="s">
        <v>71</v>
      </c>
      <c r="E159" s="4" t="s">
        <v>55</v>
      </c>
      <c r="F159" s="8">
        <v>142.5</v>
      </c>
      <c r="G159" s="9" t="str">
        <f t="array" ref="G159:I159">XLOOKUP(C159,DimRopa[SKU],DimRopa[[Prenda]:[Costo_Fabricacion]])</f>
        <v>Beanie Beis</v>
      </c>
      <c r="H159" s="9" t="s">
        <v>52</v>
      </c>
      <c r="I159" s="10">
        <v>80.0</v>
      </c>
      <c r="J159" s="10">
        <f t="shared" si="1"/>
        <v>62.5</v>
      </c>
      <c r="K159" s="9" t="str">
        <f t="shared" si="2"/>
        <v>Regular</v>
      </c>
    </row>
    <row r="160" ht="15.75" customHeight="1">
      <c r="A160" s="4" t="s">
        <v>242</v>
      </c>
      <c r="B160" s="4" t="s">
        <v>241</v>
      </c>
      <c r="C160" s="4" t="s">
        <v>45</v>
      </c>
      <c r="D160" s="4" t="s">
        <v>37</v>
      </c>
      <c r="E160" s="4" t="s">
        <v>38</v>
      </c>
      <c r="F160" s="8">
        <v>186.84</v>
      </c>
      <c r="G160" s="9" t="str">
        <f t="array" ref="G160:I160">XLOOKUP(C160,DimRopa[SKU],DimRopa[[Prenda]:[Costo_Fabricacion]])</f>
        <v>Camiseta Graphic Print</v>
      </c>
      <c r="H160" s="9" t="s">
        <v>47</v>
      </c>
      <c r="I160" s="10">
        <v>120.0</v>
      </c>
      <c r="J160" s="10">
        <f t="shared" si="1"/>
        <v>66.84</v>
      </c>
      <c r="K160" s="9" t="str">
        <f t="shared" si="2"/>
        <v>Regular</v>
      </c>
    </row>
    <row r="161" ht="15.75" customHeight="1">
      <c r="A161" s="4" t="s">
        <v>243</v>
      </c>
      <c r="B161" s="4" t="s">
        <v>241</v>
      </c>
      <c r="C161" s="4" t="s">
        <v>45</v>
      </c>
      <c r="D161" s="4" t="s">
        <v>37</v>
      </c>
      <c r="E161" s="4" t="s">
        <v>59</v>
      </c>
      <c r="F161" s="8">
        <v>217.94</v>
      </c>
      <c r="G161" s="9" t="str">
        <f t="array" ref="G161:I161">XLOOKUP(C161,DimRopa[SKU],DimRopa[[Prenda]:[Costo_Fabricacion]])</f>
        <v>Camiseta Graphic Print</v>
      </c>
      <c r="H161" s="9" t="s">
        <v>47</v>
      </c>
      <c r="I161" s="10">
        <v>120.0</v>
      </c>
      <c r="J161" s="10">
        <f t="shared" si="1"/>
        <v>97.94</v>
      </c>
      <c r="K161" s="9" t="str">
        <f t="shared" si="2"/>
        <v>Regular</v>
      </c>
    </row>
    <row r="162" ht="15.75" customHeight="1">
      <c r="A162" s="4" t="s">
        <v>244</v>
      </c>
      <c r="B162" s="4" t="s">
        <v>241</v>
      </c>
      <c r="C162" s="4" t="s">
        <v>27</v>
      </c>
      <c r="D162" s="4" t="s">
        <v>81</v>
      </c>
      <c r="E162" s="4" t="s">
        <v>55</v>
      </c>
      <c r="F162" s="8">
        <v>525.3</v>
      </c>
      <c r="G162" s="9" t="str">
        <f t="array" ref="G162:I162">XLOOKUP(C162,DimRopa[SKU],DimRopa[[Prenda]:[Costo_Fabricacion]])</f>
        <v>Jeans Relaxed Fit Dark</v>
      </c>
      <c r="H162" s="9" t="s">
        <v>25</v>
      </c>
      <c r="I162" s="10">
        <v>320.0</v>
      </c>
      <c r="J162" s="10">
        <f t="shared" si="1"/>
        <v>205.3</v>
      </c>
      <c r="K162" s="9" t="str">
        <f t="shared" si="2"/>
        <v>Regular</v>
      </c>
    </row>
    <row r="163" ht="15.75" customHeight="1">
      <c r="A163" s="4" t="s">
        <v>245</v>
      </c>
      <c r="B163" s="4" t="s">
        <v>246</v>
      </c>
      <c r="C163" s="4" t="s">
        <v>33</v>
      </c>
      <c r="D163" s="4" t="s">
        <v>37</v>
      </c>
      <c r="E163" s="4" t="s">
        <v>55</v>
      </c>
      <c r="F163" s="8">
        <v>1197.88</v>
      </c>
      <c r="G163" s="9" t="str">
        <f t="array" ref="G163:I163">XLOOKUP(C163,DimRopa[SKU],DimRopa[[Prenda]:[Costo_Fabricacion]])</f>
        <v>Chaqueta Double-Faced</v>
      </c>
      <c r="H163" s="9" t="s">
        <v>36</v>
      </c>
      <c r="I163" s="10">
        <v>650.0</v>
      </c>
      <c r="J163" s="10">
        <f t="shared" si="1"/>
        <v>547.88</v>
      </c>
      <c r="K163" s="9" t="str">
        <f t="shared" si="2"/>
        <v>Alta</v>
      </c>
    </row>
    <row r="164" ht="15.75" customHeight="1">
      <c r="A164" s="4" t="s">
        <v>247</v>
      </c>
      <c r="B164" s="4" t="s">
        <v>246</v>
      </c>
      <c r="C164" s="4" t="s">
        <v>48</v>
      </c>
      <c r="D164" s="4" t="s">
        <v>81</v>
      </c>
      <c r="E164" s="4" t="s">
        <v>55</v>
      </c>
      <c r="F164" s="8">
        <v>717.52</v>
      </c>
      <c r="G164" s="9" t="str">
        <f t="array" ref="G164:I164">XLOOKUP(C164,DimRopa[SKU],DimRopa[[Prenda]:[Costo_Fabricacion]])</f>
        <v>Cargo Pants Olive</v>
      </c>
      <c r="H164" s="9" t="s">
        <v>25</v>
      </c>
      <c r="I164" s="10">
        <v>380.0</v>
      </c>
      <c r="J164" s="10">
        <f t="shared" si="1"/>
        <v>337.52</v>
      </c>
      <c r="K164" s="9" t="str">
        <f t="shared" si="2"/>
        <v>Alta</v>
      </c>
    </row>
    <row r="165" ht="15.75" customHeight="1">
      <c r="A165" s="4" t="s">
        <v>248</v>
      </c>
      <c r="B165" s="4" t="s">
        <v>246</v>
      </c>
      <c r="C165" s="4" t="s">
        <v>42</v>
      </c>
      <c r="D165" s="4" t="s">
        <v>81</v>
      </c>
      <c r="E165" s="4" t="s">
        <v>59</v>
      </c>
      <c r="F165" s="8">
        <v>833.22</v>
      </c>
      <c r="G165" s="9" t="str">
        <f t="array" ref="G165:I165">XLOOKUP(C165,DimRopa[SKU],DimRopa[[Prenda]:[Costo_Fabricacion]])</f>
        <v>Sneakers Chunky White</v>
      </c>
      <c r="H165" s="9" t="s">
        <v>44</v>
      </c>
      <c r="I165" s="10">
        <v>450.0</v>
      </c>
      <c r="J165" s="10">
        <f t="shared" si="1"/>
        <v>383.22</v>
      </c>
      <c r="K165" s="9" t="str">
        <f t="shared" si="2"/>
        <v>Alta</v>
      </c>
    </row>
    <row r="166" ht="15.75" customHeight="1">
      <c r="A166" s="4" t="s">
        <v>249</v>
      </c>
      <c r="B166" s="4" t="s">
        <v>246</v>
      </c>
      <c r="C166" s="4" t="s">
        <v>50</v>
      </c>
      <c r="D166" s="4" t="s">
        <v>71</v>
      </c>
      <c r="E166" s="4" t="s">
        <v>59</v>
      </c>
      <c r="F166" s="8">
        <v>118.11</v>
      </c>
      <c r="G166" s="9" t="str">
        <f t="array" ref="G166:I166">XLOOKUP(C166,DimRopa[SKU],DimRopa[[Prenda]:[Costo_Fabricacion]])</f>
        <v>Beanie Beis</v>
      </c>
      <c r="H166" s="9" t="s">
        <v>52</v>
      </c>
      <c r="I166" s="10">
        <v>80.0</v>
      </c>
      <c r="J166" s="10">
        <f t="shared" si="1"/>
        <v>38.11</v>
      </c>
      <c r="K166" s="9" t="str">
        <f t="shared" si="2"/>
        <v>Regular</v>
      </c>
    </row>
    <row r="167" ht="15.75" customHeight="1">
      <c r="A167" s="4" t="s">
        <v>250</v>
      </c>
      <c r="B167" s="4" t="s">
        <v>246</v>
      </c>
      <c r="C167" s="4" t="s">
        <v>27</v>
      </c>
      <c r="D167" s="4" t="s">
        <v>37</v>
      </c>
      <c r="E167" s="4" t="s">
        <v>59</v>
      </c>
      <c r="F167" s="8">
        <v>533.22</v>
      </c>
      <c r="G167" s="9" t="str">
        <f t="array" ref="G167:I167">XLOOKUP(C167,DimRopa[SKU],DimRopa[[Prenda]:[Costo_Fabricacion]])</f>
        <v>Jeans Relaxed Fit Dark</v>
      </c>
      <c r="H167" s="9" t="s">
        <v>25</v>
      </c>
      <c r="I167" s="10">
        <v>320.0</v>
      </c>
      <c r="J167" s="10">
        <f t="shared" si="1"/>
        <v>213.22</v>
      </c>
      <c r="K167" s="9" t="str">
        <f t="shared" si="2"/>
        <v>Regular</v>
      </c>
    </row>
    <row r="168" ht="15.75" customHeight="1">
      <c r="A168" s="4" t="s">
        <v>251</v>
      </c>
      <c r="B168" s="4" t="s">
        <v>246</v>
      </c>
      <c r="C168" s="4" t="s">
        <v>27</v>
      </c>
      <c r="D168" s="4" t="s">
        <v>37</v>
      </c>
      <c r="E168" s="4" t="s">
        <v>38</v>
      </c>
      <c r="F168" s="8">
        <v>596.62</v>
      </c>
      <c r="G168" s="9" t="str">
        <f t="array" ref="G168:I168">XLOOKUP(C168,DimRopa[SKU],DimRopa[[Prenda]:[Costo_Fabricacion]])</f>
        <v>Jeans Relaxed Fit Dark</v>
      </c>
      <c r="H168" s="9" t="s">
        <v>25</v>
      </c>
      <c r="I168" s="10">
        <v>320.0</v>
      </c>
      <c r="J168" s="10">
        <f t="shared" si="1"/>
        <v>276.62</v>
      </c>
      <c r="K168" s="9" t="str">
        <f t="shared" si="2"/>
        <v>Alta</v>
      </c>
    </row>
    <row r="169" ht="15.75" customHeight="1">
      <c r="A169" s="4" t="s">
        <v>252</v>
      </c>
      <c r="B169" s="4" t="s">
        <v>246</v>
      </c>
      <c r="C169" s="4" t="s">
        <v>48</v>
      </c>
      <c r="D169" s="4" t="s">
        <v>81</v>
      </c>
      <c r="E169" s="4" t="s">
        <v>38</v>
      </c>
      <c r="F169" s="8">
        <v>592.37</v>
      </c>
      <c r="G169" s="9" t="str">
        <f t="array" ref="G169:I169">XLOOKUP(C169,DimRopa[SKU],DimRopa[[Prenda]:[Costo_Fabricacion]])</f>
        <v>Cargo Pants Olive</v>
      </c>
      <c r="H169" s="9" t="s">
        <v>25</v>
      </c>
      <c r="I169" s="10">
        <v>380.0</v>
      </c>
      <c r="J169" s="10">
        <f t="shared" si="1"/>
        <v>212.37</v>
      </c>
      <c r="K169" s="9" t="str">
        <f t="shared" si="2"/>
        <v>Regular</v>
      </c>
    </row>
    <row r="170" ht="15.75" customHeight="1">
      <c r="A170" s="4" t="s">
        <v>253</v>
      </c>
      <c r="B170" s="4" t="s">
        <v>246</v>
      </c>
      <c r="C170" s="4" t="s">
        <v>48</v>
      </c>
      <c r="D170" s="4" t="s">
        <v>54</v>
      </c>
      <c r="E170" s="4" t="s">
        <v>55</v>
      </c>
      <c r="F170" s="8">
        <v>653.29</v>
      </c>
      <c r="G170" s="9" t="str">
        <f t="array" ref="G170:I170">XLOOKUP(C170,DimRopa[SKU],DimRopa[[Prenda]:[Costo_Fabricacion]])</f>
        <v>Cargo Pants Olive</v>
      </c>
      <c r="H170" s="9" t="s">
        <v>25</v>
      </c>
      <c r="I170" s="10">
        <v>380.0</v>
      </c>
      <c r="J170" s="10">
        <f t="shared" si="1"/>
        <v>273.29</v>
      </c>
      <c r="K170" s="9" t="str">
        <f t="shared" si="2"/>
        <v>Alta</v>
      </c>
    </row>
    <row r="171" ht="15.75" customHeight="1">
      <c r="A171" s="4" t="s">
        <v>254</v>
      </c>
      <c r="B171" s="4" t="s">
        <v>255</v>
      </c>
      <c r="C171" s="4" t="s">
        <v>27</v>
      </c>
      <c r="D171" s="4" t="s">
        <v>81</v>
      </c>
      <c r="E171" s="4" t="s">
        <v>38</v>
      </c>
      <c r="F171" s="8">
        <v>556.59</v>
      </c>
      <c r="G171" s="9" t="str">
        <f t="array" ref="G171:I171">XLOOKUP(C171,DimRopa[SKU],DimRopa[[Prenda]:[Costo_Fabricacion]])</f>
        <v>Jeans Relaxed Fit Dark</v>
      </c>
      <c r="H171" s="9" t="s">
        <v>25</v>
      </c>
      <c r="I171" s="10">
        <v>320.0</v>
      </c>
      <c r="J171" s="10">
        <f t="shared" si="1"/>
        <v>236.59</v>
      </c>
      <c r="K171" s="9" t="str">
        <f t="shared" si="2"/>
        <v>Regular</v>
      </c>
    </row>
    <row r="172" ht="15.75" customHeight="1">
      <c r="A172" s="4" t="s">
        <v>256</v>
      </c>
      <c r="B172" s="4" t="s">
        <v>255</v>
      </c>
      <c r="C172" s="4" t="s">
        <v>42</v>
      </c>
      <c r="D172" s="4" t="s">
        <v>37</v>
      </c>
      <c r="E172" s="4" t="s">
        <v>38</v>
      </c>
      <c r="F172" s="8">
        <v>851.12</v>
      </c>
      <c r="G172" s="9" t="str">
        <f t="array" ref="G172:I172">XLOOKUP(C172,DimRopa[SKU],DimRopa[[Prenda]:[Costo_Fabricacion]])</f>
        <v>Sneakers Chunky White</v>
      </c>
      <c r="H172" s="9" t="s">
        <v>44</v>
      </c>
      <c r="I172" s="10">
        <v>450.0</v>
      </c>
      <c r="J172" s="10">
        <f t="shared" si="1"/>
        <v>401.12</v>
      </c>
      <c r="K172" s="9" t="str">
        <f t="shared" si="2"/>
        <v>Alta</v>
      </c>
    </row>
    <row r="173" ht="15.75" customHeight="1">
      <c r="A173" s="4" t="s">
        <v>257</v>
      </c>
      <c r="B173" s="4" t="s">
        <v>255</v>
      </c>
      <c r="C173" s="4" t="s">
        <v>33</v>
      </c>
      <c r="D173" s="4" t="s">
        <v>81</v>
      </c>
      <c r="E173" s="4" t="s">
        <v>55</v>
      </c>
      <c r="F173" s="8">
        <v>1090.99</v>
      </c>
      <c r="G173" s="9" t="str">
        <f t="array" ref="G173:I173">XLOOKUP(C173,DimRopa[SKU],DimRopa[[Prenda]:[Costo_Fabricacion]])</f>
        <v>Chaqueta Double-Faced</v>
      </c>
      <c r="H173" s="9" t="s">
        <v>36</v>
      </c>
      <c r="I173" s="10">
        <v>650.0</v>
      </c>
      <c r="J173" s="10">
        <f t="shared" si="1"/>
        <v>440.99</v>
      </c>
      <c r="K173" s="9" t="str">
        <f t="shared" si="2"/>
        <v>Alta</v>
      </c>
    </row>
    <row r="174" ht="15.75" customHeight="1">
      <c r="A174" s="4" t="s">
        <v>258</v>
      </c>
      <c r="B174" s="4" t="s">
        <v>255</v>
      </c>
      <c r="C174" s="4" t="s">
        <v>50</v>
      </c>
      <c r="D174" s="4" t="s">
        <v>71</v>
      </c>
      <c r="E174" s="4" t="s">
        <v>59</v>
      </c>
      <c r="F174" s="8">
        <v>127.29</v>
      </c>
      <c r="G174" s="9" t="str">
        <f t="array" ref="G174:I174">XLOOKUP(C174,DimRopa[SKU],DimRopa[[Prenda]:[Costo_Fabricacion]])</f>
        <v>Beanie Beis</v>
      </c>
      <c r="H174" s="9" t="s">
        <v>52</v>
      </c>
      <c r="I174" s="10">
        <v>80.0</v>
      </c>
      <c r="J174" s="10">
        <f t="shared" si="1"/>
        <v>47.29</v>
      </c>
      <c r="K174" s="9" t="str">
        <f t="shared" si="2"/>
        <v>Regular</v>
      </c>
    </row>
    <row r="175" ht="15.75" customHeight="1">
      <c r="A175" s="4" t="s">
        <v>259</v>
      </c>
      <c r="B175" s="4" t="s">
        <v>255</v>
      </c>
      <c r="C175" s="4" t="s">
        <v>20</v>
      </c>
      <c r="D175" s="4" t="s">
        <v>81</v>
      </c>
      <c r="E175" s="4" t="s">
        <v>55</v>
      </c>
      <c r="F175" s="8">
        <v>618.16</v>
      </c>
      <c r="G175" s="9" t="str">
        <f t="array" ref="G175:I175">XLOOKUP(C175,DimRopa[SKU],DimRopa[[Prenda]:[Costo_Fabricacion]])</f>
        <v>Jeans Baggy Light Indigo</v>
      </c>
      <c r="H175" s="9" t="s">
        <v>25</v>
      </c>
      <c r="I175" s="10">
        <v>350.0</v>
      </c>
      <c r="J175" s="10">
        <f t="shared" si="1"/>
        <v>268.16</v>
      </c>
      <c r="K175" s="9" t="str">
        <f t="shared" si="2"/>
        <v>Alta</v>
      </c>
    </row>
    <row r="176" ht="15.75" customHeight="1">
      <c r="A176" s="4" t="s">
        <v>260</v>
      </c>
      <c r="B176" s="4" t="s">
        <v>261</v>
      </c>
      <c r="C176" s="4" t="s">
        <v>48</v>
      </c>
      <c r="D176" s="4" t="s">
        <v>81</v>
      </c>
      <c r="E176" s="4" t="s">
        <v>59</v>
      </c>
      <c r="F176" s="8">
        <v>653.08</v>
      </c>
      <c r="G176" s="9" t="str">
        <f t="array" ref="G176:I176">XLOOKUP(C176,DimRopa[SKU],DimRopa[[Prenda]:[Costo_Fabricacion]])</f>
        <v>Cargo Pants Olive</v>
      </c>
      <c r="H176" s="9" t="s">
        <v>25</v>
      </c>
      <c r="I176" s="10">
        <v>380.0</v>
      </c>
      <c r="J176" s="10">
        <f t="shared" si="1"/>
        <v>273.08</v>
      </c>
      <c r="K176" s="9" t="str">
        <f t="shared" si="2"/>
        <v>Alta</v>
      </c>
    </row>
    <row r="177" ht="15.75" customHeight="1">
      <c r="A177" s="4" t="s">
        <v>262</v>
      </c>
      <c r="B177" s="4" t="s">
        <v>261</v>
      </c>
      <c r="C177" s="4" t="s">
        <v>42</v>
      </c>
      <c r="D177" s="4" t="s">
        <v>58</v>
      </c>
      <c r="E177" s="4" t="s">
        <v>55</v>
      </c>
      <c r="F177" s="8">
        <v>680.21</v>
      </c>
      <c r="G177" s="9" t="str">
        <f t="array" ref="G177:I177">XLOOKUP(C177,DimRopa[SKU],DimRopa[[Prenda]:[Costo_Fabricacion]])</f>
        <v>Sneakers Chunky White</v>
      </c>
      <c r="H177" s="9" t="s">
        <v>44</v>
      </c>
      <c r="I177" s="10">
        <v>450.0</v>
      </c>
      <c r="J177" s="10">
        <f t="shared" si="1"/>
        <v>230.21</v>
      </c>
      <c r="K177" s="9" t="str">
        <f t="shared" si="2"/>
        <v>Regular</v>
      </c>
    </row>
    <row r="178" ht="15.75" customHeight="1">
      <c r="A178" s="4" t="s">
        <v>263</v>
      </c>
      <c r="B178" s="4" t="s">
        <v>261</v>
      </c>
      <c r="C178" s="4" t="s">
        <v>42</v>
      </c>
      <c r="D178" s="4" t="s">
        <v>81</v>
      </c>
      <c r="E178" s="4" t="s">
        <v>55</v>
      </c>
      <c r="F178" s="8">
        <v>765.03</v>
      </c>
      <c r="G178" s="9" t="str">
        <f t="array" ref="G178:I178">XLOOKUP(C178,DimRopa[SKU],DimRopa[[Prenda]:[Costo_Fabricacion]])</f>
        <v>Sneakers Chunky White</v>
      </c>
      <c r="H178" s="9" t="s">
        <v>44</v>
      </c>
      <c r="I178" s="10">
        <v>450.0</v>
      </c>
      <c r="J178" s="10">
        <f t="shared" si="1"/>
        <v>315.03</v>
      </c>
      <c r="K178" s="9" t="str">
        <f t="shared" si="2"/>
        <v>Alta</v>
      </c>
    </row>
    <row r="179" ht="15.75" customHeight="1">
      <c r="A179" s="4" t="s">
        <v>264</v>
      </c>
      <c r="B179" s="4" t="s">
        <v>261</v>
      </c>
      <c r="C179" s="4" t="s">
        <v>33</v>
      </c>
      <c r="D179" s="4" t="s">
        <v>81</v>
      </c>
      <c r="E179" s="4" t="s">
        <v>38</v>
      </c>
      <c r="F179" s="8">
        <v>947.63</v>
      </c>
      <c r="G179" s="9" t="str">
        <f t="array" ref="G179:I179">XLOOKUP(C179,DimRopa[SKU],DimRopa[[Prenda]:[Costo_Fabricacion]])</f>
        <v>Chaqueta Double-Faced</v>
      </c>
      <c r="H179" s="9" t="s">
        <v>36</v>
      </c>
      <c r="I179" s="10">
        <v>650.0</v>
      </c>
      <c r="J179" s="10">
        <f t="shared" si="1"/>
        <v>297.63</v>
      </c>
      <c r="K179" s="9" t="str">
        <f t="shared" si="2"/>
        <v>Alta</v>
      </c>
    </row>
    <row r="180" ht="15.75" customHeight="1">
      <c r="A180" s="4" t="s">
        <v>265</v>
      </c>
      <c r="B180" s="4" t="s">
        <v>266</v>
      </c>
      <c r="C180" s="4" t="s">
        <v>50</v>
      </c>
      <c r="D180" s="4" t="s">
        <v>71</v>
      </c>
      <c r="E180" s="4" t="s">
        <v>38</v>
      </c>
      <c r="F180" s="8">
        <v>117.82</v>
      </c>
      <c r="G180" s="9" t="str">
        <f t="array" ref="G180:I180">XLOOKUP(C180,DimRopa[SKU],DimRopa[[Prenda]:[Costo_Fabricacion]])</f>
        <v>Beanie Beis</v>
      </c>
      <c r="H180" s="9" t="s">
        <v>52</v>
      </c>
      <c r="I180" s="10">
        <v>80.0</v>
      </c>
      <c r="J180" s="10">
        <f t="shared" si="1"/>
        <v>37.82</v>
      </c>
      <c r="K180" s="9" t="str">
        <f t="shared" si="2"/>
        <v>Regular</v>
      </c>
    </row>
    <row r="181" ht="15.75" customHeight="1">
      <c r="A181" s="4" t="s">
        <v>267</v>
      </c>
      <c r="B181" s="4" t="s">
        <v>266</v>
      </c>
      <c r="C181" s="4" t="s">
        <v>50</v>
      </c>
      <c r="D181" s="4" t="s">
        <v>71</v>
      </c>
      <c r="E181" s="4" t="s">
        <v>55</v>
      </c>
      <c r="F181" s="8">
        <v>150.11</v>
      </c>
      <c r="G181" s="9" t="str">
        <f t="array" ref="G181:I181">XLOOKUP(C181,DimRopa[SKU],DimRopa[[Prenda]:[Costo_Fabricacion]])</f>
        <v>Beanie Beis</v>
      </c>
      <c r="H181" s="9" t="s">
        <v>52</v>
      </c>
      <c r="I181" s="10">
        <v>80.0</v>
      </c>
      <c r="J181" s="10">
        <f t="shared" si="1"/>
        <v>70.11</v>
      </c>
      <c r="K181" s="9" t="str">
        <f t="shared" si="2"/>
        <v>Regular</v>
      </c>
    </row>
    <row r="182" ht="15.75" customHeight="1">
      <c r="A182" s="4" t="s">
        <v>268</v>
      </c>
      <c r="B182" s="4" t="s">
        <v>266</v>
      </c>
      <c r="C182" s="4" t="s">
        <v>45</v>
      </c>
      <c r="D182" s="4" t="s">
        <v>81</v>
      </c>
      <c r="E182" s="4" t="s">
        <v>38</v>
      </c>
      <c r="F182" s="8">
        <v>190.14</v>
      </c>
      <c r="G182" s="9" t="str">
        <f t="array" ref="G182:I182">XLOOKUP(C182,DimRopa[SKU],DimRopa[[Prenda]:[Costo_Fabricacion]])</f>
        <v>Camiseta Graphic Print</v>
      </c>
      <c r="H182" s="9" t="s">
        <v>47</v>
      </c>
      <c r="I182" s="10">
        <v>120.0</v>
      </c>
      <c r="J182" s="10">
        <f t="shared" si="1"/>
        <v>70.14</v>
      </c>
      <c r="K182" s="9" t="str">
        <f t="shared" si="2"/>
        <v>Regular</v>
      </c>
    </row>
    <row r="183" ht="15.75" customHeight="1">
      <c r="A183" s="4" t="s">
        <v>269</v>
      </c>
      <c r="B183" s="4" t="s">
        <v>266</v>
      </c>
      <c r="C183" s="4" t="s">
        <v>42</v>
      </c>
      <c r="D183" s="4" t="s">
        <v>81</v>
      </c>
      <c r="E183" s="4" t="s">
        <v>38</v>
      </c>
      <c r="F183" s="8">
        <v>858.43</v>
      </c>
      <c r="G183" s="9" t="str">
        <f t="array" ref="G183:I183">XLOOKUP(C183,DimRopa[SKU],DimRopa[[Prenda]:[Costo_Fabricacion]])</f>
        <v>Sneakers Chunky White</v>
      </c>
      <c r="H183" s="9" t="s">
        <v>44</v>
      </c>
      <c r="I183" s="10">
        <v>450.0</v>
      </c>
      <c r="J183" s="10">
        <f t="shared" si="1"/>
        <v>408.43</v>
      </c>
      <c r="K183" s="9" t="str">
        <f t="shared" si="2"/>
        <v>Alta</v>
      </c>
    </row>
    <row r="184" ht="15.75" customHeight="1">
      <c r="A184" s="4" t="s">
        <v>270</v>
      </c>
      <c r="B184" s="4" t="s">
        <v>266</v>
      </c>
      <c r="C184" s="4" t="s">
        <v>42</v>
      </c>
      <c r="D184" s="4" t="s">
        <v>37</v>
      </c>
      <c r="E184" s="4" t="s">
        <v>38</v>
      </c>
      <c r="F184" s="8">
        <v>749.41</v>
      </c>
      <c r="G184" s="9" t="str">
        <f t="array" ref="G184:I184">XLOOKUP(C184,DimRopa[SKU],DimRopa[[Prenda]:[Costo_Fabricacion]])</f>
        <v>Sneakers Chunky White</v>
      </c>
      <c r="H184" s="9" t="s">
        <v>44</v>
      </c>
      <c r="I184" s="10">
        <v>450.0</v>
      </c>
      <c r="J184" s="10">
        <f t="shared" si="1"/>
        <v>299.41</v>
      </c>
      <c r="K184" s="9" t="str">
        <f t="shared" si="2"/>
        <v>Alta</v>
      </c>
    </row>
    <row r="185" ht="15.75" customHeight="1">
      <c r="A185" s="4" t="s">
        <v>271</v>
      </c>
      <c r="B185" s="4" t="s">
        <v>266</v>
      </c>
      <c r="C185" s="4" t="s">
        <v>39</v>
      </c>
      <c r="D185" s="4" t="s">
        <v>54</v>
      </c>
      <c r="E185" s="4" t="s">
        <v>38</v>
      </c>
      <c r="F185" s="8">
        <v>504.07</v>
      </c>
      <c r="G185" s="9" t="str">
        <f t="array" ref="G185:I185">XLOOKUP(C185,DimRopa[SKU],DimRopa[[Prenda]:[Costo_Fabricacion]])</f>
        <v>Hoodie Oversize Black</v>
      </c>
      <c r="H185" s="9" t="s">
        <v>41</v>
      </c>
      <c r="I185" s="10">
        <v>280.0</v>
      </c>
      <c r="J185" s="10">
        <f t="shared" si="1"/>
        <v>224.07</v>
      </c>
      <c r="K185" s="9" t="str">
        <f t="shared" si="2"/>
        <v>Regular</v>
      </c>
    </row>
    <row r="186" ht="15.75" customHeight="1">
      <c r="A186" s="4" t="s">
        <v>272</v>
      </c>
      <c r="B186" s="4" t="s">
        <v>266</v>
      </c>
      <c r="C186" s="4" t="s">
        <v>42</v>
      </c>
      <c r="D186" s="4" t="s">
        <v>37</v>
      </c>
      <c r="E186" s="4" t="s">
        <v>59</v>
      </c>
      <c r="F186" s="8">
        <v>896.98</v>
      </c>
      <c r="G186" s="9" t="str">
        <f t="array" ref="G186:I186">XLOOKUP(C186,DimRopa[SKU],DimRopa[[Prenda]:[Costo_Fabricacion]])</f>
        <v>Sneakers Chunky White</v>
      </c>
      <c r="H186" s="9" t="s">
        <v>44</v>
      </c>
      <c r="I186" s="10">
        <v>450.0</v>
      </c>
      <c r="J186" s="10">
        <f t="shared" si="1"/>
        <v>446.98</v>
      </c>
      <c r="K186" s="9" t="str">
        <f t="shared" si="2"/>
        <v>Alta</v>
      </c>
    </row>
    <row r="187" ht="15.75" customHeight="1">
      <c r="A187" s="4" t="s">
        <v>273</v>
      </c>
      <c r="B187" s="4" t="s">
        <v>266</v>
      </c>
      <c r="C187" s="4" t="s">
        <v>42</v>
      </c>
      <c r="D187" s="4" t="s">
        <v>81</v>
      </c>
      <c r="E187" s="4" t="s">
        <v>55</v>
      </c>
      <c r="F187" s="8">
        <v>740.52</v>
      </c>
      <c r="G187" s="9" t="str">
        <f t="array" ref="G187:I187">XLOOKUP(C187,DimRopa[SKU],DimRopa[[Prenda]:[Costo_Fabricacion]])</f>
        <v>Sneakers Chunky White</v>
      </c>
      <c r="H187" s="9" t="s">
        <v>44</v>
      </c>
      <c r="I187" s="10">
        <v>450.0</v>
      </c>
      <c r="J187" s="10">
        <f t="shared" si="1"/>
        <v>290.52</v>
      </c>
      <c r="K187" s="9" t="str">
        <f t="shared" si="2"/>
        <v>Alta</v>
      </c>
    </row>
    <row r="188" ht="15.75" customHeight="1">
      <c r="A188" s="4" t="s">
        <v>274</v>
      </c>
      <c r="B188" s="4" t="s">
        <v>266</v>
      </c>
      <c r="C188" s="4" t="s">
        <v>33</v>
      </c>
      <c r="D188" s="4" t="s">
        <v>58</v>
      </c>
      <c r="E188" s="4" t="s">
        <v>55</v>
      </c>
      <c r="F188" s="8">
        <v>1134.65</v>
      </c>
      <c r="G188" s="9" t="str">
        <f t="array" ref="G188:I188">XLOOKUP(C188,DimRopa[SKU],DimRopa[[Prenda]:[Costo_Fabricacion]])</f>
        <v>Chaqueta Double-Faced</v>
      </c>
      <c r="H188" s="9" t="s">
        <v>36</v>
      </c>
      <c r="I188" s="10">
        <v>650.0</v>
      </c>
      <c r="J188" s="10">
        <f t="shared" si="1"/>
        <v>484.65</v>
      </c>
      <c r="K188" s="9" t="str">
        <f t="shared" si="2"/>
        <v>Alta</v>
      </c>
    </row>
    <row r="189" ht="15.75" customHeight="1">
      <c r="A189" s="4" t="s">
        <v>275</v>
      </c>
      <c r="B189" s="4" t="s">
        <v>266</v>
      </c>
      <c r="C189" s="4" t="s">
        <v>48</v>
      </c>
      <c r="D189" s="4" t="s">
        <v>37</v>
      </c>
      <c r="E189" s="4" t="s">
        <v>59</v>
      </c>
      <c r="F189" s="8">
        <v>566.98</v>
      </c>
      <c r="G189" s="9" t="str">
        <f t="array" ref="G189:I189">XLOOKUP(C189,DimRopa[SKU],DimRopa[[Prenda]:[Costo_Fabricacion]])</f>
        <v>Cargo Pants Olive</v>
      </c>
      <c r="H189" s="9" t="s">
        <v>25</v>
      </c>
      <c r="I189" s="10">
        <v>380.0</v>
      </c>
      <c r="J189" s="10">
        <f t="shared" si="1"/>
        <v>186.98</v>
      </c>
      <c r="K189" s="9" t="str">
        <f t="shared" si="2"/>
        <v>Regular</v>
      </c>
    </row>
    <row r="190" ht="15.75" customHeight="1">
      <c r="A190" s="4" t="s">
        <v>276</v>
      </c>
      <c r="B190" s="4" t="s">
        <v>277</v>
      </c>
      <c r="C190" s="4" t="s">
        <v>20</v>
      </c>
      <c r="D190" s="4" t="s">
        <v>81</v>
      </c>
      <c r="E190" s="4" t="s">
        <v>38</v>
      </c>
      <c r="F190" s="8">
        <v>625.08</v>
      </c>
      <c r="G190" s="9" t="str">
        <f t="array" ref="G190:I190">XLOOKUP(C190,DimRopa[SKU],DimRopa[[Prenda]:[Costo_Fabricacion]])</f>
        <v>Jeans Baggy Light Indigo</v>
      </c>
      <c r="H190" s="9" t="s">
        <v>25</v>
      </c>
      <c r="I190" s="10">
        <v>350.0</v>
      </c>
      <c r="J190" s="10">
        <f t="shared" si="1"/>
        <v>275.08</v>
      </c>
      <c r="K190" s="9" t="str">
        <f t="shared" si="2"/>
        <v>Alta</v>
      </c>
    </row>
    <row r="191" ht="15.75" customHeight="1">
      <c r="A191" s="4" t="s">
        <v>278</v>
      </c>
      <c r="B191" s="4" t="s">
        <v>277</v>
      </c>
      <c r="C191" s="4" t="s">
        <v>48</v>
      </c>
      <c r="D191" s="4" t="s">
        <v>54</v>
      </c>
      <c r="E191" s="4" t="s">
        <v>38</v>
      </c>
      <c r="F191" s="8">
        <v>741.41</v>
      </c>
      <c r="G191" s="9" t="str">
        <f t="array" ref="G191:I191">XLOOKUP(C191,DimRopa[SKU],DimRopa[[Prenda]:[Costo_Fabricacion]])</f>
        <v>Cargo Pants Olive</v>
      </c>
      <c r="H191" s="9" t="s">
        <v>25</v>
      </c>
      <c r="I191" s="10">
        <v>380.0</v>
      </c>
      <c r="J191" s="10">
        <f t="shared" si="1"/>
        <v>361.41</v>
      </c>
      <c r="K191" s="9" t="str">
        <f t="shared" si="2"/>
        <v>Alta</v>
      </c>
    </row>
    <row r="192" ht="15.75" customHeight="1">
      <c r="A192" s="4" t="s">
        <v>279</v>
      </c>
      <c r="B192" s="4" t="s">
        <v>277</v>
      </c>
      <c r="C192" s="4" t="s">
        <v>50</v>
      </c>
      <c r="D192" s="4" t="s">
        <v>71</v>
      </c>
      <c r="E192" s="4" t="s">
        <v>55</v>
      </c>
      <c r="F192" s="8">
        <v>152.05</v>
      </c>
      <c r="G192" s="9" t="str">
        <f t="array" ref="G192:I192">XLOOKUP(C192,DimRopa[SKU],DimRopa[[Prenda]:[Costo_Fabricacion]])</f>
        <v>Beanie Beis</v>
      </c>
      <c r="H192" s="9" t="s">
        <v>52</v>
      </c>
      <c r="I192" s="10">
        <v>80.0</v>
      </c>
      <c r="J192" s="10">
        <f t="shared" si="1"/>
        <v>72.05</v>
      </c>
      <c r="K192" s="9" t="str">
        <f t="shared" si="2"/>
        <v>Regular</v>
      </c>
    </row>
    <row r="193" ht="15.75" customHeight="1">
      <c r="A193" s="4" t="s">
        <v>280</v>
      </c>
      <c r="B193" s="4" t="s">
        <v>277</v>
      </c>
      <c r="C193" s="4" t="s">
        <v>27</v>
      </c>
      <c r="D193" s="4" t="s">
        <v>37</v>
      </c>
      <c r="E193" s="4" t="s">
        <v>55</v>
      </c>
      <c r="F193" s="8">
        <v>484.8</v>
      </c>
      <c r="G193" s="9" t="str">
        <f t="array" ref="G193:I193">XLOOKUP(C193,DimRopa[SKU],DimRopa[[Prenda]:[Costo_Fabricacion]])</f>
        <v>Jeans Relaxed Fit Dark</v>
      </c>
      <c r="H193" s="9" t="s">
        <v>25</v>
      </c>
      <c r="I193" s="10">
        <v>320.0</v>
      </c>
      <c r="J193" s="10">
        <f t="shared" si="1"/>
        <v>164.8</v>
      </c>
      <c r="K193" s="9" t="str">
        <f t="shared" si="2"/>
        <v>Regular</v>
      </c>
    </row>
    <row r="194" ht="15.75" customHeight="1">
      <c r="A194" s="4" t="s">
        <v>281</v>
      </c>
      <c r="B194" s="4" t="s">
        <v>277</v>
      </c>
      <c r="C194" s="4" t="s">
        <v>20</v>
      </c>
      <c r="D194" s="4" t="s">
        <v>81</v>
      </c>
      <c r="E194" s="4" t="s">
        <v>38</v>
      </c>
      <c r="F194" s="8">
        <v>500.03</v>
      </c>
      <c r="G194" s="9" t="str">
        <f t="array" ref="G194:I194">XLOOKUP(C194,DimRopa[SKU],DimRopa[[Prenda]:[Costo_Fabricacion]])</f>
        <v>Jeans Baggy Light Indigo</v>
      </c>
      <c r="H194" s="9" t="s">
        <v>25</v>
      </c>
      <c r="I194" s="10">
        <v>350.0</v>
      </c>
      <c r="J194" s="10">
        <f t="shared" si="1"/>
        <v>150.03</v>
      </c>
      <c r="K194" s="9" t="str">
        <f t="shared" si="2"/>
        <v>Regular</v>
      </c>
    </row>
    <row r="195" ht="15.75" customHeight="1">
      <c r="A195" s="4" t="s">
        <v>282</v>
      </c>
      <c r="B195" s="4" t="s">
        <v>277</v>
      </c>
      <c r="C195" s="4" t="s">
        <v>39</v>
      </c>
      <c r="D195" s="4" t="s">
        <v>54</v>
      </c>
      <c r="E195" s="4" t="s">
        <v>55</v>
      </c>
      <c r="F195" s="8">
        <v>526.06</v>
      </c>
      <c r="G195" s="9" t="str">
        <f t="array" ref="G195:I195">XLOOKUP(C195,DimRopa[SKU],DimRopa[[Prenda]:[Costo_Fabricacion]])</f>
        <v>Hoodie Oversize Black</v>
      </c>
      <c r="H195" s="9" t="s">
        <v>41</v>
      </c>
      <c r="I195" s="10">
        <v>280.0</v>
      </c>
      <c r="J195" s="10">
        <f t="shared" si="1"/>
        <v>246.06</v>
      </c>
      <c r="K195" s="9" t="str">
        <f t="shared" si="2"/>
        <v>Regular</v>
      </c>
    </row>
    <row r="196" ht="15.75" customHeight="1">
      <c r="A196" s="4" t="s">
        <v>283</v>
      </c>
      <c r="B196" s="4" t="s">
        <v>277</v>
      </c>
      <c r="C196" s="4" t="s">
        <v>27</v>
      </c>
      <c r="D196" s="4" t="s">
        <v>54</v>
      </c>
      <c r="E196" s="4" t="s">
        <v>55</v>
      </c>
      <c r="F196" s="8">
        <v>596.83</v>
      </c>
      <c r="G196" s="9" t="str">
        <f t="array" ref="G196:I196">XLOOKUP(C196,DimRopa[SKU],DimRopa[[Prenda]:[Costo_Fabricacion]])</f>
        <v>Jeans Relaxed Fit Dark</v>
      </c>
      <c r="H196" s="9" t="s">
        <v>25</v>
      </c>
      <c r="I196" s="10">
        <v>320.0</v>
      </c>
      <c r="J196" s="10">
        <f t="shared" si="1"/>
        <v>276.83</v>
      </c>
      <c r="K196" s="9" t="str">
        <f t="shared" si="2"/>
        <v>Alta</v>
      </c>
    </row>
    <row r="197" ht="15.75" customHeight="1">
      <c r="A197" s="4" t="s">
        <v>284</v>
      </c>
      <c r="B197" s="4" t="s">
        <v>277</v>
      </c>
      <c r="C197" s="4" t="s">
        <v>27</v>
      </c>
      <c r="D197" s="4" t="s">
        <v>81</v>
      </c>
      <c r="E197" s="4" t="s">
        <v>59</v>
      </c>
      <c r="F197" s="8">
        <v>620.85</v>
      </c>
      <c r="G197" s="9" t="str">
        <f t="array" ref="G197:I197">XLOOKUP(C197,DimRopa[SKU],DimRopa[[Prenda]:[Costo_Fabricacion]])</f>
        <v>Jeans Relaxed Fit Dark</v>
      </c>
      <c r="H197" s="9" t="s">
        <v>25</v>
      </c>
      <c r="I197" s="10">
        <v>320.0</v>
      </c>
      <c r="J197" s="10">
        <f t="shared" si="1"/>
        <v>300.85</v>
      </c>
      <c r="K197" s="9" t="str">
        <f t="shared" si="2"/>
        <v>Alta</v>
      </c>
    </row>
    <row r="198" ht="15.75" customHeight="1">
      <c r="A198" s="4" t="s">
        <v>285</v>
      </c>
      <c r="B198" s="4" t="s">
        <v>286</v>
      </c>
      <c r="C198" s="4" t="s">
        <v>33</v>
      </c>
      <c r="D198" s="4" t="s">
        <v>81</v>
      </c>
      <c r="E198" s="4" t="s">
        <v>59</v>
      </c>
      <c r="F198" s="8">
        <v>1250.16</v>
      </c>
      <c r="G198" s="9" t="str">
        <f t="array" ref="G198:I198">XLOOKUP(C198,DimRopa[SKU],DimRopa[[Prenda]:[Costo_Fabricacion]])</f>
        <v>Chaqueta Double-Faced</v>
      </c>
      <c r="H198" s="9" t="s">
        <v>36</v>
      </c>
      <c r="I198" s="10">
        <v>650.0</v>
      </c>
      <c r="J198" s="10">
        <f t="shared" si="1"/>
        <v>600.16</v>
      </c>
      <c r="K198" s="9" t="str">
        <f t="shared" si="2"/>
        <v>Alta</v>
      </c>
    </row>
    <row r="199" ht="15.75" customHeight="1">
      <c r="A199" s="4" t="s">
        <v>287</v>
      </c>
      <c r="B199" s="4" t="s">
        <v>286</v>
      </c>
      <c r="C199" s="4" t="s">
        <v>27</v>
      </c>
      <c r="D199" s="4" t="s">
        <v>58</v>
      </c>
      <c r="E199" s="4" t="s">
        <v>59</v>
      </c>
      <c r="F199" s="8">
        <v>472.13</v>
      </c>
      <c r="G199" s="9" t="str">
        <f t="array" ref="G199:I199">XLOOKUP(C199,DimRopa[SKU],DimRopa[[Prenda]:[Costo_Fabricacion]])</f>
        <v>Jeans Relaxed Fit Dark</v>
      </c>
      <c r="H199" s="9" t="s">
        <v>25</v>
      </c>
      <c r="I199" s="10">
        <v>320.0</v>
      </c>
      <c r="J199" s="10">
        <f t="shared" si="1"/>
        <v>152.13</v>
      </c>
      <c r="K199" s="9" t="str">
        <f t="shared" si="2"/>
        <v>Regular</v>
      </c>
    </row>
    <row r="200" ht="15.75" customHeight="1">
      <c r="A200" s="4" t="s">
        <v>288</v>
      </c>
      <c r="B200" s="4" t="s">
        <v>286</v>
      </c>
      <c r="C200" s="4" t="s">
        <v>20</v>
      </c>
      <c r="D200" s="4" t="s">
        <v>54</v>
      </c>
      <c r="E200" s="4" t="s">
        <v>38</v>
      </c>
      <c r="F200" s="8">
        <v>519.64</v>
      </c>
      <c r="G200" s="9" t="str">
        <f t="array" ref="G200:I200">XLOOKUP(C200,DimRopa[SKU],DimRopa[[Prenda]:[Costo_Fabricacion]])</f>
        <v>Jeans Baggy Light Indigo</v>
      </c>
      <c r="H200" s="9" t="s">
        <v>25</v>
      </c>
      <c r="I200" s="10">
        <v>350.0</v>
      </c>
      <c r="J200" s="10">
        <f t="shared" si="1"/>
        <v>169.64</v>
      </c>
      <c r="K200" s="9" t="str">
        <f t="shared" si="2"/>
        <v>Regular</v>
      </c>
    </row>
    <row r="201" ht="15.75" customHeight="1">
      <c r="A201" s="4" t="s">
        <v>289</v>
      </c>
      <c r="B201" s="4" t="s">
        <v>286</v>
      </c>
      <c r="C201" s="4" t="s">
        <v>33</v>
      </c>
      <c r="D201" s="4" t="s">
        <v>81</v>
      </c>
      <c r="E201" s="4" t="s">
        <v>38</v>
      </c>
      <c r="F201" s="8">
        <v>1012.92</v>
      </c>
      <c r="G201" s="9" t="str">
        <f t="array" ref="G201:I201">XLOOKUP(C201,DimRopa[SKU],DimRopa[[Prenda]:[Costo_Fabricacion]])</f>
        <v>Chaqueta Double-Faced</v>
      </c>
      <c r="H201" s="9" t="s">
        <v>36</v>
      </c>
      <c r="I201" s="10">
        <v>650.0</v>
      </c>
      <c r="J201" s="10">
        <f t="shared" si="1"/>
        <v>362.92</v>
      </c>
      <c r="K201" s="9" t="str">
        <f t="shared" si="2"/>
        <v>Alta</v>
      </c>
    </row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2582F2F4-4AC9-4C19-8EA3-861E7871D7EB}" filter="1" showAutoFilter="1">
      <autoFilter ref="$A$1:$K$201"/>
    </customSheetView>
  </customSheetViews>
  <dataValidations>
    <dataValidation type="custom" allowBlank="1" showDropDown="1" sqref="F2:F201 I2:J201">
      <formula1>AND(ISNUMBER(F2),(NOT(OR(NOT(ISERROR(DATEVALUE(F2))), AND(ISNUMBER(F2), LEFT(CELL("format", F2))="D")))))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sheetData>
    <row r="1"/>
    <row r="2"/>
    <row r="3"/>
    <row r="4"/>
    <row r="5"/>
    <row r="6"/>
  </sheetData>
  <drawing r:id="rId2"/>
</worksheet>
</file>