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tálogo" sheetId="2" r:id="rId6"/>
    <sheet state="visible" name="Exportaciones" sheetId="3" r:id="rId7"/>
    <sheet state="visible" name="Tabla dinámica 1" sheetId="4" r:id="rId8"/>
  </sheets>
  <definedNames>
    <definedName hidden="1" localSheetId="1" name="Z_CAEB38CC_6EE3_42B9_AD58_C8525D9FF121_.wvu.FilterData">'Catálogo'!$A$1:$E$9</definedName>
    <definedName hidden="1" localSheetId="2" name="Z_07B89CC1_5B9A_4DC7_B0AE_8705D8B5B9D9_.wvu.FilterData">Exportaciones!$A$1:$M$151</definedName>
  </definedNames>
  <calcPr/>
  <customWorkbookViews>
    <customWorkbookView activeSheetId="0" maximized="1" windowHeight="0" windowWidth="0" guid="{CAEB38CC-6EE3-42B9-AD58-C8525D9FF121}" name="DimJuegos filter view"/>
    <customWorkbookView activeSheetId="0" maximized="1" windowHeight="0" windowWidth="0" guid="{07B89CC1-5B9A-4DC7-B0AE-8705D8B5B9D9}" name="FactExportaciones filter view"/>
  </customWorkbookViews>
  <pivotCaches>
    <pivotCache cacheId="0" r:id="rId9"/>
  </pivotCaches>
</workbook>
</file>

<file path=xl/sharedStrings.xml><?xml version="1.0" encoding="utf-8"?>
<sst xmlns="http://schemas.openxmlformats.org/spreadsheetml/2006/main" count="984" uniqueCount="324">
  <si>
    <t>¡Tercer Round, Fer! Prueba de Fuego 🔥</t>
  </si>
  <si>
    <t>Eres el Analista de Datos de una distribuidora internacional de videojuegos.</t>
  </si>
  <si>
    <t>Tu objetivo es armar el reporte de exportaciones sin ayuda. Mide tu tiempo:</t>
  </si>
  <si>
    <t>1. Estructura: Convierte 'Catálogo' y 'Exportaciones' en Tablas de Excel formales.</t>
  </si>
  <si>
    <t>2. Cruce de Datos (BUSCARX): En 'Exportaciones', trae el Título, Género y Precio_USD usando el ID_Juego.</t>
  </si>
  <si>
    <t>3. Cálculo Básico: Crea la columna 'Venta_Bruta_USD' (Unidades * Precio_USD).</t>
  </si>
  <si>
    <t>4. Variables Estáticas ($): En la celda J2 de esta hoja, escribe el % de tarifa de plataforma (ej. 30%).</t>
  </si>
  <si>
    <t xml:space="preserve">   Crea la columna 'Tarifa_Plataforma' en Exportaciones calculando este % sobre la Venta Bruta (usa F4).</t>
  </si>
  <si>
    <t>5. Venta Neta: Crea la columna 'Ingreso_Neto_USD' (Venta Bruta - Tarifa).</t>
  </si>
  <si>
    <t>6. Lógica Condicional (SI): Crea la columna 'Volumen'. Si las unidades superan las 50, es 'Alto Volumen', si no, 'Retail'.</t>
  </si>
  <si>
    <t>7. Agregaciones (El test de ayer):</t>
  </si>
  <si>
    <t xml:space="preserve">   - a) ¿Cuántas UNIDADES FÍSICAS en total se enviaron a 'Japón'?</t>
  </si>
  <si>
    <t xml:space="preserve">   - b) ¿Cuántas TRANSACCIONES (tickets/envíos) se hicieron hacia 'México'?</t>
  </si>
  <si>
    <t>8. Data Viz: Tabla dinámica de 'Ingreso_Neto_USD' por 'País_Destino' (Filas) y 'Género' (Columnas). Gráfico de barras limpio.</t>
  </si>
  <si>
    <t>ID_Transaccion</t>
  </si>
  <si>
    <t>Fecha</t>
  </si>
  <si>
    <t>ID_Juego</t>
  </si>
  <si>
    <t>Pais_Destino</t>
  </si>
  <si>
    <t>Unidades</t>
  </si>
  <si>
    <t>Titulo</t>
  </si>
  <si>
    <t>Genero</t>
  </si>
  <si>
    <t>Estudio</t>
  </si>
  <si>
    <t>Precio_USD</t>
  </si>
  <si>
    <t>Precio</t>
  </si>
  <si>
    <t>J-001</t>
  </si>
  <si>
    <t>Venta Bruta</t>
  </si>
  <si>
    <t>Tarifa de Plataforma</t>
  </si>
  <si>
    <t>Ingreso Neto</t>
  </si>
  <si>
    <t>Volumen</t>
  </si>
  <si>
    <t>Japon</t>
  </si>
  <si>
    <t>Eco's Adventure</t>
  </si>
  <si>
    <t>Plataformas</t>
  </si>
  <si>
    <t>Indie Pixel</t>
  </si>
  <si>
    <t>Tickets mx</t>
  </si>
  <si>
    <t>TRX-1126</t>
  </si>
  <si>
    <t>2026-01-01</t>
  </si>
  <si>
    <t>J-005</t>
  </si>
  <si>
    <t>Estados Unidos</t>
  </si>
  <si>
    <t>J-002</t>
  </si>
  <si>
    <t>Hero's Academia Z</t>
  </si>
  <si>
    <t>Peleas</t>
  </si>
  <si>
    <t>Shonen Games</t>
  </si>
  <si>
    <t>J-003</t>
  </si>
  <si>
    <t>Pirate King Quest</t>
  </si>
  <si>
    <t>RPG</t>
  </si>
  <si>
    <t>Grand Line Studios</t>
  </si>
  <si>
    <t>J-004</t>
  </si>
  <si>
    <t>Speed Moto 250z</t>
  </si>
  <si>
    <t>Carreras</t>
  </si>
  <si>
    <t>Biker Games</t>
  </si>
  <si>
    <t>Soccer Lock 2027</t>
  </si>
  <si>
    <t>Deportes</t>
  </si>
  <si>
    <t>Blue Vision</t>
  </si>
  <si>
    <t>J-006</t>
  </si>
  <si>
    <t>Dark Swordsman</t>
  </si>
  <si>
    <t>Acción</t>
  </si>
  <si>
    <t>Eclipse</t>
  </si>
  <si>
    <t>J-007</t>
  </si>
  <si>
    <t>Urban Street Wear</t>
  </si>
  <si>
    <t>Simulación</t>
  </si>
  <si>
    <t>City Trends</t>
  </si>
  <si>
    <t>J-008</t>
  </si>
  <si>
    <t>Chess Grandmaster</t>
  </si>
  <si>
    <t>Estrategia</t>
  </si>
  <si>
    <t>Mind Games</t>
  </si>
  <si>
    <t>TRX-1095</t>
  </si>
  <si>
    <t>Japón</t>
  </si>
  <si>
    <t>SUM de Ingreso Neto</t>
  </si>
  <si>
    <t>Suma total</t>
  </si>
  <si>
    <t>Colombia</t>
  </si>
  <si>
    <t>España</t>
  </si>
  <si>
    <t>México</t>
  </si>
  <si>
    <t>TRX-1053</t>
  </si>
  <si>
    <t>2026-01-02</t>
  </si>
  <si>
    <t>TRX-1110</t>
  </si>
  <si>
    <t>2026-01-07</t>
  </si>
  <si>
    <t>TRX-1113</t>
  </si>
  <si>
    <t>2026-01-08</t>
  </si>
  <si>
    <t>TRX-1004</t>
  </si>
  <si>
    <t>2026-01-09</t>
  </si>
  <si>
    <t>TRX-1023</t>
  </si>
  <si>
    <t>TRX-1099</t>
  </si>
  <si>
    <t>2026-01-10</t>
  </si>
  <si>
    <t>TRX-1079</t>
  </si>
  <si>
    <t>2026-01-11</t>
  </si>
  <si>
    <t>TRX-1066</t>
  </si>
  <si>
    <t>2026-01-13</t>
  </si>
  <si>
    <t>TRX-1074</t>
  </si>
  <si>
    <t>TRX-1032</t>
  </si>
  <si>
    <t>2026-01-17</t>
  </si>
  <si>
    <t>TRX-1051</t>
  </si>
  <si>
    <t>TRX-1024</t>
  </si>
  <si>
    <t>TRX-1086</t>
  </si>
  <si>
    <t>2026-01-18</t>
  </si>
  <si>
    <t>TRX-1054</t>
  </si>
  <si>
    <t>TRX-1120</t>
  </si>
  <si>
    <t>TRX-1145</t>
  </si>
  <si>
    <t>2026-01-20</t>
  </si>
  <si>
    <t>TRX-1065</t>
  </si>
  <si>
    <t>TRX-1010</t>
  </si>
  <si>
    <t>2026-01-24</t>
  </si>
  <si>
    <t>TRX-1003</t>
  </si>
  <si>
    <t>2026-01-27</t>
  </si>
  <si>
    <t>TRX-1098</t>
  </si>
  <si>
    <t>2026-01-29</t>
  </si>
  <si>
    <t>TRX-1090</t>
  </si>
  <si>
    <t>2026-01-30</t>
  </si>
  <si>
    <t>TRX-1117</t>
  </si>
  <si>
    <t>TRX-1045</t>
  </si>
  <si>
    <t>2026-02-02</t>
  </si>
  <si>
    <t>TRX-1027</t>
  </si>
  <si>
    <t>2026-02-05</t>
  </si>
  <si>
    <t>TRX-1147</t>
  </si>
  <si>
    <t>TRX-1100</t>
  </si>
  <si>
    <t>2026-02-07</t>
  </si>
  <si>
    <t>TRX-1132</t>
  </si>
  <si>
    <t>TRX-1009</t>
  </si>
  <si>
    <t>2026-02-09</t>
  </si>
  <si>
    <t>TRX-1031</t>
  </si>
  <si>
    <t>TRX-1104</t>
  </si>
  <si>
    <t>TRX-1087</t>
  </si>
  <si>
    <t>2026-02-10</t>
  </si>
  <si>
    <t>TRX-1107</t>
  </si>
  <si>
    <t>TRX-1075</t>
  </si>
  <si>
    <t>TRX-1142</t>
  </si>
  <si>
    <t>TRX-1008</t>
  </si>
  <si>
    <t>TRX-1040</t>
  </si>
  <si>
    <t>2026-02-11</t>
  </si>
  <si>
    <t>TRX-1069</t>
  </si>
  <si>
    <t>2026-02-12</t>
  </si>
  <si>
    <t>TRX-1046</t>
  </si>
  <si>
    <t>TRX-1129</t>
  </si>
  <si>
    <t>2026-02-13</t>
  </si>
  <si>
    <t>TRX-1020</t>
  </si>
  <si>
    <t>TRX-1125</t>
  </si>
  <si>
    <t>2026-02-14</t>
  </si>
  <si>
    <t>TRX-1064</t>
  </si>
  <si>
    <t>2026-02-16</t>
  </si>
  <si>
    <t>TRX-1076</t>
  </si>
  <si>
    <t>2026-02-17</t>
  </si>
  <si>
    <t>TRX-1063</t>
  </si>
  <si>
    <t>2026-02-18</t>
  </si>
  <si>
    <t>TRX-1124</t>
  </si>
  <si>
    <t>2026-02-19</t>
  </si>
  <si>
    <t>TRX-1039</t>
  </si>
  <si>
    <t>2026-02-20</t>
  </si>
  <si>
    <t>TRX-1102</t>
  </si>
  <si>
    <t>2026-02-23</t>
  </si>
  <si>
    <t>TRX-1085</t>
  </si>
  <si>
    <t>2026-02-24</t>
  </si>
  <si>
    <t>TRX-1005</t>
  </si>
  <si>
    <t>2026-03-01</t>
  </si>
  <si>
    <t>TRX-1016</t>
  </si>
  <si>
    <t>TRX-1067</t>
  </si>
  <si>
    <t>2026-03-02</t>
  </si>
  <si>
    <t>TRX-1131</t>
  </si>
  <si>
    <t>TRX-1143</t>
  </si>
  <si>
    <t>2026-03-05</t>
  </si>
  <si>
    <t>TRX-1139</t>
  </si>
  <si>
    <t>TRX-1118</t>
  </si>
  <si>
    <t>2026-03-07</t>
  </si>
  <si>
    <t>TRX-1096</t>
  </si>
  <si>
    <t>2026-03-09</t>
  </si>
  <si>
    <t>TRX-1028</t>
  </si>
  <si>
    <t>TRX-1037</t>
  </si>
  <si>
    <t>TRX-1070</t>
  </si>
  <si>
    <t>TRX-1035</t>
  </si>
  <si>
    <t>2026-03-10</t>
  </si>
  <si>
    <t>TRX-1091</t>
  </si>
  <si>
    <t>2026-03-11</t>
  </si>
  <si>
    <t>TRX-1002</t>
  </si>
  <si>
    <t>2026-03-12</t>
  </si>
  <si>
    <t>TRX-1111</t>
  </si>
  <si>
    <t>2026-03-13</t>
  </si>
  <si>
    <t>TRX-1072</t>
  </si>
  <si>
    <t>2026-03-17</t>
  </si>
  <si>
    <t>TRX-1088</t>
  </si>
  <si>
    <t>2026-03-19</t>
  </si>
  <si>
    <t>TRX-1042</t>
  </si>
  <si>
    <t>2026-03-20</t>
  </si>
  <si>
    <t>TRX-1101</t>
  </si>
  <si>
    <t>TRX-1122</t>
  </si>
  <si>
    <t>2026-03-21</t>
  </si>
  <si>
    <t>TRX-1083</t>
  </si>
  <si>
    <t>2026-03-22</t>
  </si>
  <si>
    <t>TRX-1025</t>
  </si>
  <si>
    <t>TRX-1116</t>
  </si>
  <si>
    <t>TRX-1106</t>
  </si>
  <si>
    <t>2026-03-27</t>
  </si>
  <si>
    <t>TRX-1146</t>
  </si>
  <si>
    <t>TRX-1062</t>
  </si>
  <si>
    <t>2026-03-28</t>
  </si>
  <si>
    <t>TRX-1092</t>
  </si>
  <si>
    <t>2026-03-29</t>
  </si>
  <si>
    <t>TRX-1011</t>
  </si>
  <si>
    <t>2026-03-30</t>
  </si>
  <si>
    <t>TRX-1109</t>
  </si>
  <si>
    <t>2026-03-31</t>
  </si>
  <si>
    <t>TRX-1018</t>
  </si>
  <si>
    <t>2026-04-01</t>
  </si>
  <si>
    <t>TRX-1029</t>
  </si>
  <si>
    <t>2026-04-03</t>
  </si>
  <si>
    <t>TRX-1021</t>
  </si>
  <si>
    <t>2026-04-08</t>
  </si>
  <si>
    <t>TRX-1082</t>
  </si>
  <si>
    <t>2026-04-12</t>
  </si>
  <si>
    <t>TRX-1135</t>
  </si>
  <si>
    <t>2026-04-13</t>
  </si>
  <si>
    <t>TRX-1058</t>
  </si>
  <si>
    <t>2026-04-15</t>
  </si>
  <si>
    <t>TRX-1060</t>
  </si>
  <si>
    <t>2026-04-16</t>
  </si>
  <si>
    <t>TRX-1105</t>
  </si>
  <si>
    <t>TRX-1149</t>
  </si>
  <si>
    <t>2026-04-17</t>
  </si>
  <si>
    <t>TRX-1137</t>
  </si>
  <si>
    <t>2026-04-19</t>
  </si>
  <si>
    <t>TRX-1047</t>
  </si>
  <si>
    <t>TRX-1127</t>
  </si>
  <si>
    <t>2026-04-21</t>
  </si>
  <si>
    <t>TRX-1036</t>
  </si>
  <si>
    <t>2026-04-22</t>
  </si>
  <si>
    <t>TRX-1128</t>
  </si>
  <si>
    <t>2026-04-24</t>
  </si>
  <si>
    <t>TRX-1050</t>
  </si>
  <si>
    <t>2026-04-26</t>
  </si>
  <si>
    <t>TRX-1017</t>
  </si>
  <si>
    <t>2026-04-27</t>
  </si>
  <si>
    <t>TRX-1012</t>
  </si>
  <si>
    <t>2026-04-28</t>
  </si>
  <si>
    <t>TRX-1140</t>
  </si>
  <si>
    <t>2026-04-29</t>
  </si>
  <si>
    <t>TRX-1150</t>
  </si>
  <si>
    <t>2026-04-30</t>
  </si>
  <si>
    <t>TRX-1033</t>
  </si>
  <si>
    <t>TRX-1108</t>
  </si>
  <si>
    <t>2026-05-01</t>
  </si>
  <si>
    <t>TRX-1133</t>
  </si>
  <si>
    <t>2026-05-02</t>
  </si>
  <si>
    <t>TRX-1068</t>
  </si>
  <si>
    <t>2026-05-04</t>
  </si>
  <si>
    <t>TRX-1044</t>
  </si>
  <si>
    <t>2026-05-05</t>
  </si>
  <si>
    <t>TRX-1056</t>
  </si>
  <si>
    <t>TRX-1041</t>
  </si>
  <si>
    <t>2026-05-06</t>
  </si>
  <si>
    <t>TRX-1093</t>
  </si>
  <si>
    <t>TRX-1030</t>
  </si>
  <si>
    <t>2026-05-07</t>
  </si>
  <si>
    <t>TRX-1141</t>
  </si>
  <si>
    <t>2026-05-10</t>
  </si>
  <si>
    <t>TRX-1055</t>
  </si>
  <si>
    <t>2026-05-12</t>
  </si>
  <si>
    <t>TRX-1138</t>
  </si>
  <si>
    <t>2026-05-13</t>
  </si>
  <si>
    <t>TRX-1119</t>
  </si>
  <si>
    <t>2026-05-14</t>
  </si>
  <si>
    <t>TRX-1073</t>
  </si>
  <si>
    <t>2026-05-19</t>
  </si>
  <si>
    <t>TRX-1013</t>
  </si>
  <si>
    <t>2026-05-22</t>
  </si>
  <si>
    <t>TRX-1052</t>
  </si>
  <si>
    <t>TRX-1103</t>
  </si>
  <si>
    <t>2026-05-24</t>
  </si>
  <si>
    <t>TRX-1043</t>
  </si>
  <si>
    <t>2026-05-26</t>
  </si>
  <si>
    <t>TRX-1078</t>
  </si>
  <si>
    <t>TRX-1057</t>
  </si>
  <si>
    <t>2026-05-27</t>
  </si>
  <si>
    <t>TRX-1014</t>
  </si>
  <si>
    <t>2026-05-28</t>
  </si>
  <si>
    <t>TRX-1114</t>
  </si>
  <si>
    <t>2026-05-29</t>
  </si>
  <si>
    <t>TRX-1080</t>
  </si>
  <si>
    <t>2026-05-30</t>
  </si>
  <si>
    <t>TRX-1007</t>
  </si>
  <si>
    <t>2026-05-31</t>
  </si>
  <si>
    <t>TRX-1115</t>
  </si>
  <si>
    <t>2026-06-02</t>
  </si>
  <si>
    <t>TRX-1084</t>
  </si>
  <si>
    <t>2026-06-09</t>
  </si>
  <si>
    <t>TRX-1038</t>
  </si>
  <si>
    <t>2026-06-10</t>
  </si>
  <si>
    <t>TRX-1144</t>
  </si>
  <si>
    <t>TRX-1134</t>
  </si>
  <si>
    <t>2026-06-11</t>
  </si>
  <si>
    <t>TRX-1094</t>
  </si>
  <si>
    <t>2026-06-12</t>
  </si>
  <si>
    <t>TRX-1001</t>
  </si>
  <si>
    <t>2026-06-13</t>
  </si>
  <si>
    <t>TRX-1026</t>
  </si>
  <si>
    <t>2026-06-14</t>
  </si>
  <si>
    <t>TRX-1112</t>
  </si>
  <si>
    <t>TRX-1006</t>
  </si>
  <si>
    <t>2026-06-16</t>
  </si>
  <si>
    <t>TRX-1061</t>
  </si>
  <si>
    <t>2026-06-17</t>
  </si>
  <si>
    <t>TRX-1059</t>
  </si>
  <si>
    <t>2026-06-18</t>
  </si>
  <si>
    <t>TRX-1130</t>
  </si>
  <si>
    <t>2026-06-19</t>
  </si>
  <si>
    <t>TRX-1089</t>
  </si>
  <si>
    <t>TRX-1121</t>
  </si>
  <si>
    <t>TRX-1015</t>
  </si>
  <si>
    <t>TRX-1081</t>
  </si>
  <si>
    <t>2026-06-21</t>
  </si>
  <si>
    <t>TRX-1049</t>
  </si>
  <si>
    <t>TRX-1077</t>
  </si>
  <si>
    <t>2026-06-22</t>
  </si>
  <si>
    <t>TRX-1034</t>
  </si>
  <si>
    <t>2026-06-24</t>
  </si>
  <si>
    <t>TRX-1019</t>
  </si>
  <si>
    <t>TRX-1022</t>
  </si>
  <si>
    <t>2026-06-25</t>
  </si>
  <si>
    <t>TRX-1136</t>
  </si>
  <si>
    <t>2026-06-26</t>
  </si>
  <si>
    <t>TRX-1048</t>
  </si>
  <si>
    <t>TRX-1148</t>
  </si>
  <si>
    <t>2026-06-27</t>
  </si>
  <si>
    <t>TRX-1071</t>
  </si>
  <si>
    <t>2026-06-28</t>
  </si>
  <si>
    <t>TRX-1123</t>
  </si>
  <si>
    <t>TRX-1097</t>
  </si>
  <si>
    <t>2026-06-30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</si>
</sst>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6">
    <font>
      <sz val="11.0"/>
      <color theme="1"/>
      <name val="Calibri"/>
      <scheme val="minor"/>
    </font>
    <font>
      <b/>
      <sz val="16.0"/>
      <color rgb="FF003366"/>
      <name val="Calibri"/>
      <scheme val="minor"/>
    </font>
    <font>
      <color theme="1"/>
      <name val="Calibri"/>
      <scheme val="minor"/>
    </font>
    <font>
      <sz val="12.0"/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5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Exportacione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Catálogo-style">
      <tableStyleElement dxfId="2" type="headerRow"/>
      <tableStyleElement dxfId="4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Colombia, España, Estados Unidos, Japón y México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'Tabla dinámica 1'!$A$3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'Tabla dinámica 1'!$B$2:$I$2</c:f>
            </c:strRef>
          </c:cat>
          <c:val>
            <c:numRef>
              <c:f>'Tabla dinámica 1'!$B$3:$I$3</c:f>
              <c:numCache/>
            </c:numRef>
          </c:val>
        </c:ser>
        <c:ser>
          <c:idx val="1"/>
          <c:order val="1"/>
          <c:tx>
            <c:strRef>
              <c:f>'Tabla dinámica 1'!$A$4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'Tabla dinámica 1'!$B$2:$I$2</c:f>
            </c:strRef>
          </c:cat>
          <c:val>
            <c:numRef>
              <c:f>'Tabla dinámica 1'!$B$4:$I$4</c:f>
              <c:numCache/>
            </c:numRef>
          </c:val>
        </c:ser>
        <c:ser>
          <c:idx val="2"/>
          <c:order val="2"/>
          <c:tx>
            <c:strRef>
              <c:f>'Tabla dinámica 1'!$A$5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'Tabla dinámica 1'!$B$2:$I$2</c:f>
            </c:strRef>
          </c:cat>
          <c:val>
            <c:numRef>
              <c:f>'Tabla dinámica 1'!$B$5:$I$5</c:f>
              <c:numCache/>
            </c:numRef>
          </c:val>
        </c:ser>
        <c:ser>
          <c:idx val="3"/>
          <c:order val="3"/>
          <c:tx>
            <c:strRef>
              <c:f>'Tabla dinámica 1'!$A$6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'Tabla dinámica 1'!$B$2:$I$2</c:f>
            </c:strRef>
          </c:cat>
          <c:val>
            <c:numRef>
              <c:f>'Tabla dinámica 1'!$B$6:$I$6</c:f>
              <c:numCache/>
            </c:numRef>
          </c:val>
        </c:ser>
        <c:ser>
          <c:idx val="4"/>
          <c:order val="4"/>
          <c:tx>
            <c:strRef>
              <c:f>'Tabla dinámica 1'!$A$7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'Tabla dinámica 1'!$B$2:$I$2</c:f>
            </c:strRef>
          </c:cat>
          <c:val>
            <c:numRef>
              <c:f>'Tabla dinámica 1'!$B$7:$I$7</c:f>
              <c:numCache/>
            </c:numRef>
          </c:val>
        </c:ser>
        <c:overlap val="100"/>
        <c:axId val="957682555"/>
        <c:axId val="6622201"/>
      </c:barChart>
      <c:catAx>
        <c:axId val="957682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Pais_Destino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2201"/>
      </c:catAx>
      <c:valAx>
        <c:axId val="6622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682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866775</xdr:colOff>
      <xdr:row>8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51" sheet="Exportaciones"/>
  </cacheSource>
  <cacheFields>
    <cacheField name="ID_Transaccion" numFmtId="0">
      <sharedItems>
        <s v="TRX-1126"/>
        <s v="TRX-1095"/>
        <s v="TRX-1053"/>
        <s v="TRX-1110"/>
        <s v="TRX-1113"/>
        <s v="TRX-1004"/>
        <s v="TRX-1023"/>
        <s v="TRX-1099"/>
        <s v="TRX-1079"/>
        <s v="TRX-1066"/>
        <s v="TRX-1074"/>
        <s v="TRX-1032"/>
        <s v="TRX-1051"/>
        <s v="TRX-1024"/>
        <s v="TRX-1086"/>
        <s v="TRX-1054"/>
        <s v="TRX-1120"/>
        <s v="TRX-1145"/>
        <s v="TRX-1065"/>
        <s v="TRX-1010"/>
        <s v="TRX-1003"/>
        <s v="TRX-1098"/>
        <s v="TRX-1090"/>
        <s v="TRX-1117"/>
        <s v="TRX-1045"/>
        <s v="TRX-1027"/>
        <s v="TRX-1147"/>
        <s v="TRX-1100"/>
        <s v="TRX-1132"/>
        <s v="TRX-1009"/>
        <s v="TRX-1031"/>
        <s v="TRX-1104"/>
        <s v="TRX-1087"/>
        <s v="TRX-1107"/>
        <s v="TRX-1075"/>
        <s v="TRX-1142"/>
        <s v="TRX-1008"/>
        <s v="TRX-1040"/>
        <s v="TRX-1069"/>
        <s v="TRX-1046"/>
        <s v="TRX-1129"/>
        <s v="TRX-1020"/>
        <s v="TRX-1125"/>
        <s v="TRX-1064"/>
        <s v="TRX-1076"/>
        <s v="TRX-1063"/>
        <s v="TRX-1124"/>
        <s v="TRX-1039"/>
        <s v="TRX-1102"/>
        <s v="TRX-1085"/>
        <s v="TRX-1005"/>
        <s v="TRX-1016"/>
        <s v="TRX-1067"/>
        <s v="TRX-1131"/>
        <s v="TRX-1143"/>
        <s v="TRX-1139"/>
        <s v="TRX-1118"/>
        <s v="TRX-1096"/>
        <s v="TRX-1028"/>
        <s v="TRX-1037"/>
        <s v="TRX-1070"/>
        <s v="TRX-1035"/>
        <s v="TRX-1091"/>
        <s v="TRX-1002"/>
        <s v="TRX-1111"/>
        <s v="TRX-1072"/>
        <s v="TRX-1088"/>
        <s v="TRX-1042"/>
        <s v="TRX-1101"/>
        <s v="TRX-1122"/>
        <s v="TRX-1083"/>
        <s v="TRX-1025"/>
        <s v="TRX-1116"/>
        <s v="TRX-1106"/>
        <s v="TRX-1146"/>
        <s v="TRX-1062"/>
        <s v="TRX-1092"/>
        <s v="TRX-1011"/>
        <s v="TRX-1109"/>
        <s v="TRX-1018"/>
        <s v="TRX-1029"/>
        <s v="TRX-1021"/>
        <s v="TRX-1082"/>
        <s v="TRX-1135"/>
        <s v="TRX-1058"/>
        <s v="TRX-1060"/>
        <s v="TRX-1105"/>
        <s v="TRX-1149"/>
        <s v="TRX-1137"/>
        <s v="TRX-1047"/>
        <s v="TRX-1127"/>
        <s v="TRX-1036"/>
        <s v="TRX-1128"/>
        <s v="TRX-1050"/>
        <s v="TRX-1017"/>
        <s v="TRX-1012"/>
        <s v="TRX-1140"/>
        <s v="TRX-1150"/>
        <s v="TRX-1033"/>
        <s v="TRX-1108"/>
        <s v="TRX-1133"/>
        <s v="TRX-1068"/>
        <s v="TRX-1044"/>
        <s v="TRX-1056"/>
        <s v="TRX-1041"/>
        <s v="TRX-1093"/>
        <s v="TRX-1030"/>
        <s v="TRX-1141"/>
        <s v="TRX-1055"/>
        <s v="TRX-1138"/>
        <s v="TRX-1119"/>
        <s v="TRX-1073"/>
        <s v="TRX-1013"/>
        <s v="TRX-1052"/>
        <s v="TRX-1103"/>
        <s v="TRX-1043"/>
        <s v="TRX-1078"/>
        <s v="TRX-1057"/>
        <s v="TRX-1014"/>
        <s v="TRX-1114"/>
        <s v="TRX-1080"/>
        <s v="TRX-1007"/>
        <s v="TRX-1115"/>
        <s v="TRX-1084"/>
        <s v="TRX-1038"/>
        <s v="TRX-1144"/>
        <s v="TRX-1134"/>
        <s v="TRX-1094"/>
        <s v="TRX-1001"/>
        <s v="TRX-1026"/>
        <s v="TRX-1112"/>
        <s v="TRX-1006"/>
        <s v="TRX-1061"/>
        <s v="TRX-1059"/>
        <s v="TRX-1130"/>
        <s v="TRX-1089"/>
        <s v="TRX-1121"/>
        <s v="TRX-1015"/>
        <s v="TRX-1081"/>
        <s v="TRX-1049"/>
        <s v="TRX-1077"/>
        <s v="TRX-1034"/>
        <s v="TRX-1019"/>
        <s v="TRX-1022"/>
        <s v="TRX-1136"/>
        <s v="TRX-1048"/>
        <s v="TRX-1148"/>
        <s v="TRX-1071"/>
        <s v="TRX-1123"/>
        <s v="TRX-1097"/>
      </sharedItems>
    </cacheField>
    <cacheField name="Fecha" numFmtId="0">
      <sharedItems>
        <s v="2026-01-01"/>
        <s v="2026-01-02"/>
        <s v="2026-01-07"/>
        <s v="2026-01-08"/>
        <s v="2026-01-09"/>
        <s v="2026-01-10"/>
        <s v="2026-01-11"/>
        <s v="2026-01-13"/>
        <s v="2026-01-17"/>
        <s v="2026-01-18"/>
        <s v="2026-01-20"/>
        <s v="2026-01-24"/>
        <s v="2026-01-27"/>
        <s v="2026-01-29"/>
        <s v="2026-01-30"/>
        <s v="2026-02-02"/>
        <s v="2026-02-05"/>
        <s v="2026-02-07"/>
        <s v="2026-02-09"/>
        <s v="2026-02-10"/>
        <s v="2026-02-11"/>
        <s v="2026-02-12"/>
        <s v="2026-02-13"/>
        <s v="2026-02-14"/>
        <s v="2026-02-16"/>
        <s v="2026-02-17"/>
        <s v="2026-02-18"/>
        <s v="2026-02-19"/>
        <s v="2026-02-20"/>
        <s v="2026-02-23"/>
        <s v="2026-02-24"/>
        <s v="2026-03-01"/>
        <s v="2026-03-02"/>
        <s v="2026-03-05"/>
        <s v="2026-03-07"/>
        <s v="2026-03-09"/>
        <s v="2026-03-10"/>
        <s v="2026-03-11"/>
        <s v="2026-03-12"/>
        <s v="2026-03-13"/>
        <s v="2026-03-17"/>
        <s v="2026-03-19"/>
        <s v="2026-03-20"/>
        <s v="2026-03-21"/>
        <s v="2026-03-22"/>
        <s v="2026-03-27"/>
        <s v="2026-03-28"/>
        <s v="2026-03-29"/>
        <s v="2026-03-30"/>
        <s v="2026-03-31"/>
        <s v="2026-04-01"/>
        <s v="2026-04-03"/>
        <s v="2026-04-08"/>
        <s v="2026-04-12"/>
        <s v="2026-04-13"/>
        <s v="2026-04-15"/>
        <s v="2026-04-16"/>
        <s v="2026-04-17"/>
        <s v="2026-04-19"/>
        <s v="2026-04-21"/>
        <s v="2026-04-22"/>
        <s v="2026-04-24"/>
        <s v="2026-04-26"/>
        <s v="2026-04-27"/>
        <s v="2026-04-28"/>
        <s v="2026-04-29"/>
        <s v="2026-04-30"/>
        <s v="2026-05-01"/>
        <s v="2026-05-02"/>
        <s v="2026-05-04"/>
        <s v="2026-05-05"/>
        <s v="2026-05-06"/>
        <s v="2026-05-07"/>
        <s v="2026-05-10"/>
        <s v="2026-05-12"/>
        <s v="2026-05-13"/>
        <s v="2026-05-14"/>
        <s v="2026-05-19"/>
        <s v="2026-05-22"/>
        <s v="2026-05-24"/>
        <s v="2026-05-26"/>
        <s v="2026-05-27"/>
        <s v="2026-05-28"/>
        <s v="2026-05-29"/>
        <s v="2026-05-30"/>
        <s v="2026-05-31"/>
        <s v="2026-06-02"/>
        <s v="2026-06-09"/>
        <s v="2026-06-10"/>
        <s v="2026-06-11"/>
        <s v="2026-06-12"/>
        <s v="2026-06-13"/>
        <s v="2026-06-14"/>
        <s v="2026-06-16"/>
        <s v="2026-06-17"/>
        <s v="2026-06-18"/>
        <s v="2026-06-19"/>
        <s v="2026-06-21"/>
        <s v="2026-06-22"/>
        <s v="2026-06-24"/>
        <s v="2026-06-25"/>
        <s v="2026-06-26"/>
        <s v="2026-06-27"/>
        <s v="2026-06-28"/>
        <s v="2026-06-30"/>
      </sharedItems>
    </cacheField>
    <cacheField name="ID_Juego" numFmtId="0">
      <sharedItems>
        <s v="J-005"/>
        <s v="J-006"/>
        <s v="J-002"/>
        <s v="J-004"/>
        <s v="J-001"/>
        <s v="J-008"/>
        <s v="J-007"/>
        <s v="J-003"/>
      </sharedItems>
    </cacheField>
    <cacheField name="Pais_Destino" numFmtId="0">
      <sharedItems>
        <s v="Estados Unidos"/>
        <s v="Japón"/>
        <s v="México"/>
        <s v="España"/>
        <s v="Colombia"/>
      </sharedItems>
    </cacheField>
    <cacheField name="Unidades" numFmtId="0">
      <sharedItems containsSemiMixedTypes="0" containsString="0" containsNumber="1" containsInteger="1">
        <n v="27.0"/>
        <n v="82.0"/>
        <n v="30.0"/>
        <n v="43.0"/>
        <n v="23.0"/>
        <n v="28.0"/>
        <n v="35.0"/>
        <n v="71.0"/>
        <n v="85.0"/>
        <n v="97.0"/>
        <n v="68.0"/>
        <n v="77.0"/>
        <n v="76.0"/>
        <n v="92.0"/>
        <n v="37.0"/>
        <n v="10.0"/>
        <n v="41.0"/>
        <n v="13.0"/>
        <n v="46.0"/>
        <n v="55.0"/>
        <n v="70.0"/>
        <n v="20.0"/>
        <n v="25.0"/>
        <n v="69.0"/>
        <n v="50.0"/>
        <n v="6.0"/>
        <n v="32.0"/>
        <n v="14.0"/>
        <n v="91.0"/>
        <n v="5.0"/>
        <n v="11.0"/>
        <n v="34.0"/>
        <n v="36.0"/>
        <n v="42.0"/>
        <n v="78.0"/>
        <n v="66.0"/>
        <n v="60.0"/>
        <n v="9.0"/>
        <n v="87.0"/>
        <n v="98.0"/>
        <n v="45.0"/>
        <n v="26.0"/>
        <n v="63.0"/>
        <n v="18.0"/>
        <n v="1.0"/>
        <n v="52.0"/>
        <n v="38.0"/>
        <n v="75.0"/>
        <n v="39.0"/>
        <n v="31.0"/>
        <n v="59.0"/>
        <n v="51.0"/>
        <n v="65.0"/>
        <n v="94.0"/>
        <n v="29.0"/>
        <n v="90.0"/>
        <n v="84.0"/>
        <n v="95.0"/>
        <n v="57.0"/>
        <n v="61.0"/>
        <n v="48.0"/>
        <n v="79.0"/>
        <n v="2.0"/>
        <n v="54.0"/>
        <n v="8.0"/>
        <n v="99.0"/>
        <n v="17.0"/>
        <n v="47.0"/>
        <n v="12.0"/>
        <n v="15.0"/>
        <n v="58.0"/>
        <n v="86.0"/>
        <n v="72.0"/>
        <n v="56.0"/>
        <n v="96.0"/>
        <n v="64.0"/>
        <n v="67.0"/>
        <n v="16.0"/>
        <n v="100.0"/>
      </sharedItems>
    </cacheField>
    <cacheField name="Titulo" numFmtId="0">
      <sharedItems>
        <s v="Soccer Lock 2027"/>
        <s v="Dark Swordsman"/>
        <s v="Hero's Academia Z"/>
        <s v="Speed Moto 250z"/>
        <s v="Eco's Adventure"/>
        <s v="Chess Grandmaster"/>
        <s v="Urban Street Wear"/>
        <s v="Pirate King Quest"/>
      </sharedItems>
    </cacheField>
    <cacheField name="Genero" numFmtId="0">
      <sharedItems>
        <s v="Deportes"/>
        <s v="Acción"/>
        <s v="Peleas"/>
        <s v="Carreras"/>
        <s v="Plataformas"/>
        <s v="Estrategia"/>
        <s v="Simulación"/>
        <s v="RPG"/>
      </sharedItems>
    </cacheField>
    <cacheField name="Estudio" numFmtId="0">
      <sharedItems>
        <s v="Blue Vision"/>
        <s v="Eclipse"/>
        <s v="Shonen Games"/>
        <s v="Biker Games"/>
        <s v="Indie Pixel"/>
        <s v="Mind Games"/>
        <s v="City Trends"/>
        <s v="Grand Line Studios"/>
      </sharedItems>
    </cacheField>
    <cacheField name="Precio" numFmtId="164">
      <sharedItems containsSemiMixedTypes="0" containsString="0" containsNumber="1">
        <n v="69.99"/>
        <n v="39.99"/>
        <n v="59.99"/>
        <n v="29.99"/>
        <n v="15.0"/>
        <n v="9.99"/>
        <n v="19.99"/>
        <n v="49.99"/>
      </sharedItems>
    </cacheField>
    <cacheField name="Venta Bruta" numFmtId="1">
      <sharedItems containsSemiMixedTypes="0" containsString="0" containsNumber="1">
        <n v="1889.7299999999998"/>
        <n v="3279.1800000000003"/>
        <n v="1799.7"/>
        <n v="1289.57"/>
        <n v="1379.77"/>
        <n v="420.0"/>
        <n v="1399.65"/>
        <n v="2839.29"/>
        <n v="5099.150000000001"/>
        <n v="1455.0"/>
        <n v="679.32"/>
        <n v="1539.2299999999998"/>
        <n v="3039.2400000000002"/>
        <n v="2759.08"/>
        <n v="1109.6299999999999"/>
        <n v="150.0"/>
        <n v="1639.5900000000001"/>
        <n v="2449.6499999999996"/>
        <n v="129.87"/>
        <n v="919.54"/>
        <n v="3299.4500000000003"/>
        <n v="4199.3"/>
        <n v="1199.8"/>
        <n v="499.74999999999994"/>
        <n v="3549.29"/>
        <n v="2069.31"/>
        <n v="2499.5"/>
        <n v="119.94"/>
        <n v="480.0"/>
        <n v="419.85999999999996"/>
        <n v="3849.23"/>
        <n v="689.77"/>
        <n v="909.09"/>
        <n v="299.95"/>
        <n v="165.0"/>
        <n v="339.66"/>
        <n v="719.64"/>
        <n v="630.0"/>
        <n v="999.4999999999999"/>
        <n v="5459.219999999999"/>
        <n v="3959.34"/>
        <n v="1799.3999999999999"/>
        <n v="4969.29"/>
        <n v="2239.68"/>
        <n v="539.91"/>
        <n v="549.45"/>
        <n v="1739.1299999999999"/>
        <n v="4899.02"/>
        <n v="1379.54"/>
        <n v="3149.5499999999997"/>
        <n v="390.0"/>
        <n v="2159.64"/>
        <n v="3149.3700000000003"/>
        <n v="1819.7399999999998"/>
        <n v="4409.37"/>
        <n v="1079.82"/>
        <n v="15.0"/>
        <n v="1039.48"/>
        <n v="699.86"/>
        <n v="1519.6200000000001"/>
        <n v="539.8199999999999"/>
        <n v="2699.55"/>
        <n v="2249.25"/>
        <n v="585.0"/>
        <n v="929.6899999999999"/>
        <n v="1839.5400000000002"/>
        <n v="3539.4100000000003"/>
        <n v="1529.49"/>
        <n v="1319.34"/>
        <n v="699.65"/>
        <n v="439.89000000000004"/>
        <n v="1499.75"/>
        <n v="1949.35"/>
        <n v="6579.0599999999995"/>
        <n v="2029.7099999999998"/>
        <n v="2699.1"/>
        <n v="1979.34"/>
        <n v="2949.4100000000003"/>
        <n v="2519.16"/>
        <n v="389.87"/>
        <n v="869.13"/>
        <n v="1425.0"/>
        <n v="1399.3"/>
        <n v="2909.0299999999997"/>
        <n v="2279.4300000000003"/>
        <n v="49.99"/>
        <n v="1829.3899999999999"/>
        <n v="1739.71"/>
        <n v="1919.52"/>
        <n v="659.89"/>
        <n v="3159.21"/>
        <n v="539.7299999999999"/>
        <n v="139.98"/>
        <n v="1769.4099999999999"/>
        <n v="3239.46"/>
        <n v="239.92"/>
        <n v="5939.01"/>
        <n v="509.83"/>
        <n v="705.0"/>
        <n v="839.8799999999999"/>
        <n v="899.85"/>
        <n v="1159.4199999999998"/>
        <n v="2579.14"/>
        <n v="719.28"/>
        <n v="1679.4399999999998"/>
        <n v="120.0"/>
        <n v="3289.5299999999997"/>
        <n v="869.7099999999999"/>
        <n v="1919.04"/>
        <n v="5639.06"/>
        <n v="2309.23"/>
        <n v="609.39"/>
        <n v="179.94"/>
        <n v="979.8599999999999"/>
        <n v="1079.73"/>
        <n v="6859.0199999999995"/>
        <n v="1879.06"/>
        <n v="4139.31"/>
        <n v="1709.4299999999998"/>
        <n v="1919.36"/>
        <n v="5699.05"/>
        <n v="859.5699999999999"/>
        <n v="3119.48"/>
        <n v="1099.4499999999998"/>
        <n v="3879.03"/>
        <n v="2039.66"/>
        <n v="3899.35"/>
        <n v="329.89"/>
        <n v="1359.66"/>
        <n v="2679.33"/>
        <n v="479.84"/>
        <n v="5819.03"/>
        <n v="4919.18"/>
        <n v="1199.7"/>
        <n v="1500.0"/>
        <n v="1559.48"/>
        <n v="449.91"/>
        <n v="249.75"/>
        <n v="1189.83"/>
        <n v="39.98"/>
      </sharedItems>
    </cacheField>
    <cacheField name="Tarifa de Plataforma" numFmtId="165">
      <sharedItems containsSemiMixedTypes="0" containsString="0" containsNumber="1">
        <n v="566.9189999999999"/>
        <n v="983.754"/>
        <n v="539.91"/>
        <n v="386.871"/>
        <n v="413.931"/>
        <n v="126.0"/>
        <n v="419.89500000000004"/>
        <n v="851.7869999999999"/>
        <n v="1529.7450000000001"/>
        <n v="436.5"/>
        <n v="203.79600000000002"/>
        <n v="461.7689999999999"/>
        <n v="911.772"/>
        <n v="827.7239999999999"/>
        <n v="332.88899999999995"/>
        <n v="45.0"/>
        <n v="491.877"/>
        <n v="734.8949999999999"/>
        <n v="38.961"/>
        <n v="275.86199999999997"/>
        <n v="989.835"/>
        <n v="1259.79"/>
        <n v="359.94"/>
        <n v="149.92499999999998"/>
        <n v="1064.787"/>
        <n v="620.793"/>
        <n v="749.85"/>
        <n v="35.982"/>
        <n v="144.0"/>
        <n v="125.95799999999998"/>
        <n v="1154.769"/>
        <n v="206.93099999999998"/>
        <n v="272.727"/>
        <n v="89.985"/>
        <n v="49.5"/>
        <n v="101.89800000000001"/>
        <n v="215.892"/>
        <n v="189.0"/>
        <n v="299.84999999999997"/>
        <n v="1637.7659999999998"/>
        <n v="1187.802"/>
        <n v="539.8199999999999"/>
        <n v="1490.787"/>
        <n v="671.9039999999999"/>
        <n v="161.97299999999998"/>
        <n v="164.835"/>
        <n v="521.7389999999999"/>
        <n v="1469.7060000000001"/>
        <n v="413.86199999999997"/>
        <n v="944.8649999999999"/>
        <n v="117.0"/>
        <n v="647.8919999999999"/>
        <n v="944.811"/>
        <n v="545.9219999999999"/>
        <n v="1322.811"/>
        <n v="323.94599999999997"/>
        <n v="4.5"/>
        <n v="311.844"/>
        <n v="209.958"/>
        <n v="455.886"/>
        <n v="161.94599999999997"/>
        <n v="809.865"/>
        <n v="674.775"/>
        <n v="175.5"/>
        <n v="278.907"/>
        <n v="551.8620000000001"/>
        <n v="1061.823"/>
        <n v="458.847"/>
        <n v="395.80199999999996"/>
        <n v="209.89499999999998"/>
        <n v="131.967"/>
        <n v="449.925"/>
        <n v="584.805"/>
        <n v="1973.7179999999998"/>
        <n v="608.9129999999999"/>
        <n v="809.7299999999999"/>
        <n v="593.8019999999999"/>
        <n v="884.8230000000001"/>
        <n v="755.7479999999999"/>
        <n v="116.961"/>
        <n v="260.739"/>
        <n v="427.5"/>
        <n v="419.78999999999996"/>
        <n v="872.709"/>
        <n v="683.8290000000001"/>
        <n v="14.997"/>
        <n v="548.8169999999999"/>
        <n v="521.913"/>
        <n v="575.856"/>
        <n v="197.96699999999998"/>
        <n v="947.7629999999999"/>
        <n v="161.91899999999995"/>
        <n v="41.99399999999999"/>
        <n v="530.823"/>
        <n v="971.838"/>
        <n v="71.976"/>
        <n v="1781.703"/>
        <n v="152.94899999999998"/>
        <n v="211.5"/>
        <n v="251.96399999999994"/>
        <n v="269.955"/>
        <n v="347.82599999999996"/>
        <n v="773.742"/>
        <n v="215.784"/>
        <n v="503.83199999999994"/>
        <n v="36.0"/>
        <n v="986.8589999999999"/>
        <n v="260.91299999999995"/>
        <n v="575.712"/>
        <n v="1691.718"/>
        <n v="692.769"/>
        <n v="182.81699999999998"/>
        <n v="53.982"/>
        <n v="293.95799999999997"/>
        <n v="323.919"/>
        <n v="2057.7059999999997"/>
        <n v="563.718"/>
        <n v="1241.7930000000001"/>
        <n v="512.829"/>
        <n v="575.808"/>
        <n v="1709.715"/>
        <n v="257.871"/>
        <n v="935.8439999999999"/>
        <n v="329.8349999999999"/>
        <n v="1163.709"/>
        <n v="611.898"/>
        <n v="1169.8049999999998"/>
        <n v="98.967"/>
        <n v="407.898"/>
        <n v="803.799"/>
        <n v="143.952"/>
        <n v="1745.7089999999998"/>
        <n v="1475.7540000000001"/>
        <n v="359.91"/>
        <n v="450.0"/>
        <n v="467.844"/>
        <n v="134.973"/>
        <n v="74.925"/>
        <n v="356.94899999999996"/>
        <n v="11.993999999999998"/>
      </sharedItems>
    </cacheField>
    <cacheField name="Ingreso Neto" numFmtId="1">
      <sharedItems containsSemiMixedTypes="0" containsString="0" containsNumber="1">
        <n v="1322.811"/>
        <n v="2295.4260000000004"/>
        <n v="1259.79"/>
        <n v="902.699"/>
        <n v="965.8389999999999"/>
        <n v="294.0"/>
        <n v="979.7550000000001"/>
        <n v="1987.5030000000002"/>
        <n v="3569.4050000000007"/>
        <n v="1018.5"/>
        <n v="475.524"/>
        <n v="1077.4609999999998"/>
        <n v="2127.4680000000003"/>
        <n v="1931.356"/>
        <n v="776.741"/>
        <n v="105.0"/>
        <n v="1147.7130000000002"/>
        <n v="1714.7549999999997"/>
        <n v="90.909"/>
        <n v="643.678"/>
        <n v="2309.6150000000002"/>
        <n v="2939.51"/>
        <n v="839.8599999999999"/>
        <n v="349.82499999999993"/>
        <n v="2484.5029999999997"/>
        <n v="1448.5169999999998"/>
        <n v="1749.65"/>
        <n v="83.958"/>
        <n v="336.0"/>
        <n v="293.902"/>
        <n v="2694.4610000000002"/>
        <n v="482.839"/>
        <n v="636.363"/>
        <n v="209.96499999999997"/>
        <n v="115.5"/>
        <n v="237.762"/>
        <n v="503.748"/>
        <n v="441.0"/>
        <n v="699.6499999999999"/>
        <n v="3821.4539999999997"/>
        <n v="2771.5380000000005"/>
        <n v="1259.58"/>
        <n v="3478.5029999999997"/>
        <n v="1567.7759999999998"/>
        <n v="377.937"/>
        <n v="384.615"/>
        <n v="1217.391"/>
        <n v="3429.3140000000003"/>
        <n v="965.678"/>
        <n v="2204.685"/>
        <n v="273.0"/>
        <n v="1511.748"/>
        <n v="2204.559"/>
        <n v="1273.8179999999998"/>
        <n v="3086.559"/>
        <n v="755.874"/>
        <n v="10.5"/>
        <n v="727.636"/>
        <n v="489.90200000000004"/>
        <n v="1063.7340000000002"/>
        <n v="377.87399999999997"/>
        <n v="1889.6850000000002"/>
        <n v="1574.475"/>
        <n v="409.5"/>
        <n v="650.7829999999999"/>
        <n v="1287.678"/>
        <n v="2477.5870000000004"/>
        <n v="1070.643"/>
        <n v="923.538"/>
        <n v="489.755"/>
        <n v="307.923"/>
        <n v="1049.825"/>
        <n v="1364.545"/>
        <n v="4605.342"/>
        <n v="1420.797"/>
        <n v="1889.37"/>
        <n v="1385.538"/>
        <n v="2064.5870000000004"/>
        <n v="1763.4119999999998"/>
        <n v="272.909"/>
        <n v="608.3910000000001"/>
        <n v="997.5"/>
        <n v="979.51"/>
        <n v="2036.321"/>
        <n v="1595.601"/>
        <n v="34.993"/>
        <n v="1280.5729999999999"/>
        <n v="1217.797"/>
        <n v="1343.664"/>
        <n v="461.923"/>
        <n v="2211.447"/>
        <n v="377.8109999999999"/>
        <n v="97.98599999999999"/>
        <n v="1238.587"/>
        <n v="2267.6220000000003"/>
        <n v="167.944"/>
        <n v="4157.307000000001"/>
        <n v="356.881"/>
        <n v="493.5"/>
        <n v="587.9159999999999"/>
        <n v="629.895"/>
        <n v="811.5939999999998"/>
        <n v="1805.398"/>
        <n v="503.496"/>
        <n v="1175.608"/>
        <n v="84.0"/>
        <n v="2302.671"/>
        <n v="608.797"/>
        <n v="1343.328"/>
        <n v="3947.3420000000006"/>
        <n v="1616.461"/>
        <n v="426.573"/>
        <n v="125.958"/>
        <n v="685.9019999999999"/>
        <n v="755.811"/>
        <n v="4801.314"/>
        <n v="1315.342"/>
        <n v="2897.5170000000003"/>
        <n v="1196.6009999999999"/>
        <n v="1343.552"/>
        <n v="3989.335"/>
        <n v="601.699"/>
        <n v="2183.636"/>
        <n v="769.6149999999999"/>
        <n v="2715.321"/>
        <n v="1427.7620000000002"/>
        <n v="2729.545"/>
        <n v="230.923"/>
        <n v="951.7620000000001"/>
        <n v="1875.531"/>
        <n v="335.888"/>
        <n v="4073.321"/>
        <n v="3443.4260000000004"/>
        <n v="839.79"/>
        <n v="1050.0"/>
        <n v="1091.636"/>
        <n v="314.937"/>
        <n v="174.825"/>
        <n v="832.881"/>
        <n v="27.985999999999997"/>
      </sharedItems>
    </cacheField>
    <cacheField name="Volumen" numFmtId="0">
      <sharedItems>
        <s v="Retail"/>
        <s v="Alto Volume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J8" firstHeaderRow="0" firstDataRow="1" firstDataCol="1"/>
  <pivotFields>
    <pivotField name="ID_Transac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ID_Jueg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ais_Destino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Unid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Titul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Genero" axis="axisCol" compact="0" outline="0" multipleItemSelectionAllowed="1" showAll="0" sortType="ascending">
      <items>
        <item x="1"/>
        <item x="3"/>
        <item x="0"/>
        <item x="5"/>
        <item x="2"/>
        <item x="4"/>
        <item x="7"/>
        <item x="6"/>
        <item t="default"/>
      </items>
    </pivotField>
    <pivotField name="Estudi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ec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enta Bruta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Tarifa de Plataform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Ingreso Neto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olumen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6"/>
  </colFields>
  <dataFields>
    <dataField name="SUM of Ingreso Neto" fld="11" baseField="0"/>
  </dataFields>
</pivotTableDefinition>
</file>

<file path=xl/tables/table1.xml><?xml version="1.0" encoding="utf-8"?>
<table xmlns="http://schemas.openxmlformats.org/spreadsheetml/2006/main" ref="A1:E9" displayName="DimJuegos" name="DimJuegos" id="1">
  <tableColumns count="5">
    <tableColumn name="ID_Juego" id="1"/>
    <tableColumn name="Titulo" id="2"/>
    <tableColumn name="Genero" id="3"/>
    <tableColumn name="Estudio" id="4"/>
    <tableColumn name="Precio_USD" id="5"/>
  </tableColumns>
  <tableStyleInfo name="Catálogo-style" showColumnStripes="0" showFirstColumn="1" showLastColumn="1" showRowStripes="1"/>
</table>
</file>

<file path=xl/tables/table2.xml><?xml version="1.0" encoding="utf-8"?>
<table xmlns="http://schemas.openxmlformats.org/spreadsheetml/2006/main" ref="A1:M151" displayName="FactExportaciones" name="FactExportaciones" id="2">
  <tableColumns count="13">
    <tableColumn name="ID_Transaccion" id="1"/>
    <tableColumn name="Fecha" id="2"/>
    <tableColumn name="ID_Juego" id="3"/>
    <tableColumn name="Pais_Destino" id="4"/>
    <tableColumn name="Unidades" id="5"/>
    <tableColumn name="Titulo" id="6"/>
    <tableColumn name="Genero" id="7"/>
    <tableColumn name="Estudio" id="8"/>
    <tableColumn name="Precio" id="9"/>
    <tableColumn name="Venta Bruta" id="10"/>
    <tableColumn name="Tarifa de Plataforma" id="11"/>
    <tableColumn name="Ingreso Neto" id="12"/>
    <tableColumn name="Volumen" id="13"/>
  </tableColumns>
  <tableStyleInfo name="Export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26" width="8.71"/>
  </cols>
  <sheetData>
    <row r="1">
      <c r="A1" s="1" t="s">
        <v>0</v>
      </c>
    </row>
    <row r="2">
      <c r="J2" s="2">
        <v>0.3</v>
      </c>
    </row>
    <row r="3">
      <c r="A3" s="3" t="s">
        <v>1</v>
      </c>
    </row>
    <row r="4">
      <c r="A4" s="3" t="s">
        <v>2</v>
      </c>
    </row>
    <row r="5">
      <c r="A5" s="3"/>
    </row>
    <row r="6">
      <c r="A6" s="3" t="s">
        <v>3</v>
      </c>
    </row>
    <row r="7">
      <c r="A7" s="3" t="s">
        <v>4</v>
      </c>
    </row>
    <row r="8">
      <c r="A8" s="3" t="s">
        <v>5</v>
      </c>
    </row>
    <row r="9">
      <c r="A9" s="3" t="s">
        <v>6</v>
      </c>
    </row>
    <row r="10">
      <c r="A10" s="3" t="s">
        <v>7</v>
      </c>
    </row>
    <row r="11">
      <c r="A11" s="3" t="s">
        <v>8</v>
      </c>
    </row>
    <row r="12">
      <c r="A12" s="3" t="s">
        <v>9</v>
      </c>
    </row>
    <row r="13">
      <c r="A13" s="3" t="s">
        <v>10</v>
      </c>
    </row>
    <row r="14">
      <c r="A14" s="3" t="s">
        <v>11</v>
      </c>
    </row>
    <row r="15">
      <c r="A15" s="3" t="s">
        <v>12</v>
      </c>
    </row>
    <row r="16">
      <c r="A16" s="3" t="s">
        <v>13</v>
      </c>
    </row>
    <row r="17">
      <c r="A17" s="3"/>
    </row>
    <row r="18">
      <c r="A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0.0"/>
    <col customWidth="1" min="6" max="26" width="8.71"/>
  </cols>
  <sheetData>
    <row r="1">
      <c r="A1" s="4" t="s">
        <v>16</v>
      </c>
      <c r="B1" s="4" t="s">
        <v>19</v>
      </c>
      <c r="C1" s="4" t="s">
        <v>20</v>
      </c>
      <c r="D1" s="4" t="s">
        <v>21</v>
      </c>
      <c r="E1" s="4" t="s">
        <v>22</v>
      </c>
    </row>
    <row r="2">
      <c r="A2" s="6" t="s">
        <v>24</v>
      </c>
      <c r="B2" s="6" t="s">
        <v>30</v>
      </c>
      <c r="C2" s="6" t="s">
        <v>31</v>
      </c>
      <c r="D2" s="6" t="s">
        <v>32</v>
      </c>
      <c r="E2" s="8">
        <v>15.0</v>
      </c>
    </row>
    <row r="3">
      <c r="A3" s="6" t="s">
        <v>38</v>
      </c>
      <c r="B3" s="6" t="s">
        <v>39</v>
      </c>
      <c r="C3" s="6" t="s">
        <v>40</v>
      </c>
      <c r="D3" s="6" t="s">
        <v>41</v>
      </c>
      <c r="E3" s="8">
        <v>59.99</v>
      </c>
    </row>
    <row r="4">
      <c r="A4" s="6" t="s">
        <v>42</v>
      </c>
      <c r="B4" s="6" t="s">
        <v>43</v>
      </c>
      <c r="C4" s="6" t="s">
        <v>44</v>
      </c>
      <c r="D4" s="6" t="s">
        <v>45</v>
      </c>
      <c r="E4" s="8">
        <v>49.99</v>
      </c>
    </row>
    <row r="5">
      <c r="A5" s="6" t="s">
        <v>46</v>
      </c>
      <c r="B5" s="6" t="s">
        <v>47</v>
      </c>
      <c r="C5" s="6" t="s">
        <v>48</v>
      </c>
      <c r="D5" s="6" t="s">
        <v>49</v>
      </c>
      <c r="E5" s="8">
        <v>29.99</v>
      </c>
    </row>
    <row r="6">
      <c r="A6" s="6" t="s">
        <v>36</v>
      </c>
      <c r="B6" s="6" t="s">
        <v>50</v>
      </c>
      <c r="C6" s="6" t="s">
        <v>51</v>
      </c>
      <c r="D6" s="6" t="s">
        <v>52</v>
      </c>
      <c r="E6" s="8">
        <v>69.99</v>
      </c>
    </row>
    <row r="7">
      <c r="A7" s="6" t="s">
        <v>53</v>
      </c>
      <c r="B7" s="6" t="s">
        <v>54</v>
      </c>
      <c r="C7" s="6" t="s">
        <v>55</v>
      </c>
      <c r="D7" s="6" t="s">
        <v>56</v>
      </c>
      <c r="E7" s="8">
        <v>39.99</v>
      </c>
    </row>
    <row r="8">
      <c r="A8" s="6" t="s">
        <v>57</v>
      </c>
      <c r="B8" s="6" t="s">
        <v>58</v>
      </c>
      <c r="C8" s="6" t="s">
        <v>59</v>
      </c>
      <c r="D8" s="6" t="s">
        <v>60</v>
      </c>
      <c r="E8" s="8">
        <v>19.99</v>
      </c>
    </row>
    <row r="9">
      <c r="A9" s="6" t="s">
        <v>61</v>
      </c>
      <c r="B9" s="6" t="s">
        <v>62</v>
      </c>
      <c r="C9" s="6" t="s">
        <v>63</v>
      </c>
      <c r="D9" s="6" t="s">
        <v>64</v>
      </c>
      <c r="E9" s="8">
        <v>9.99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AEB38CC-6EE3-42B9-AD58-C8525D9FF121}" filter="1" showAutoFilter="1">
      <autoFilter ref="$A$1:$E$9"/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8.0"/>
    <col customWidth="1" min="6" max="6" width="13.29"/>
    <col customWidth="1" min="7" max="7" width="13.43"/>
    <col customWidth="1" min="8" max="8" width="13.57"/>
    <col customWidth="1" min="9" max="10" width="8.71"/>
    <col customWidth="1" min="11" max="11" width="12.71"/>
    <col customWidth="1" min="12" max="12" width="8.71"/>
    <col customWidth="1" min="13" max="13" width="16.0"/>
    <col customWidth="1" min="14" max="26" width="8.71"/>
  </cols>
  <sheetData>
    <row r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5" t="s">
        <v>19</v>
      </c>
      <c r="G1" s="5" t="s">
        <v>20</v>
      </c>
      <c r="H1" s="5" t="s">
        <v>21</v>
      </c>
      <c r="I1" s="5" t="s">
        <v>23</v>
      </c>
      <c r="J1" s="5" t="s">
        <v>25</v>
      </c>
      <c r="K1" s="5" t="s">
        <v>26</v>
      </c>
      <c r="L1" s="5" t="s">
        <v>27</v>
      </c>
      <c r="M1" s="5" t="s">
        <v>28</v>
      </c>
      <c r="Q1" s="7" t="s">
        <v>29</v>
      </c>
      <c r="R1" s="7" t="s">
        <v>33</v>
      </c>
    </row>
    <row r="2">
      <c r="A2" s="6" t="s">
        <v>34</v>
      </c>
      <c r="B2" s="6" t="s">
        <v>35</v>
      </c>
      <c r="C2" s="6" t="s">
        <v>36</v>
      </c>
      <c r="D2" s="6" t="s">
        <v>37</v>
      </c>
      <c r="E2" s="6">
        <v>27.0</v>
      </c>
      <c r="F2" s="9" t="str">
        <f t="array" ref="F2:I2">XLOOKUP(C2,DimJuegos[ID_Juego],DimJuegos[[Titulo]:[Precio_USD]])</f>
        <v>Soccer Lock 2027</v>
      </c>
      <c r="G2" s="9" t="s">
        <v>51</v>
      </c>
      <c r="H2" s="9" t="s">
        <v>52</v>
      </c>
      <c r="I2" s="10">
        <v>69.99</v>
      </c>
      <c r="J2" s="11">
        <f t="shared" ref="J2:J151" si="1">E2*I2</f>
        <v>1889.73</v>
      </c>
      <c r="K2" s="12">
        <f>J2*Instrucciones!$J$2</f>
        <v>566.919</v>
      </c>
      <c r="L2" s="11">
        <f t="shared" ref="L2:L151" si="2">J2-K2</f>
        <v>1322.811</v>
      </c>
      <c r="M2" s="9" t="str">
        <f t="shared" ref="M2:M151" si="3">IF(E2&gt;50,"Alto Volumen","Retail")</f>
        <v>Retail</v>
      </c>
      <c r="Q2" s="13">
        <f>SUMIF(D$2:$D$151,"Japón",E$1:$E$151)</f>
        <v>1483</v>
      </c>
      <c r="R2" s="13">
        <f>COUNTIF(D2:D151,"México")</f>
        <v>31</v>
      </c>
    </row>
    <row r="3">
      <c r="A3" s="6" t="s">
        <v>65</v>
      </c>
      <c r="B3" s="6" t="s">
        <v>35</v>
      </c>
      <c r="C3" s="6" t="s">
        <v>53</v>
      </c>
      <c r="D3" s="6" t="s">
        <v>66</v>
      </c>
      <c r="E3" s="6">
        <v>82.0</v>
      </c>
      <c r="F3" s="9" t="str">
        <f t="array" ref="F3:I3">XLOOKUP(C3,DimJuegos[ID_Juego],DimJuegos[[Titulo]:[Precio_USD]])</f>
        <v>Dark Swordsman</v>
      </c>
      <c r="G3" s="9" t="s">
        <v>55</v>
      </c>
      <c r="H3" s="9" t="s">
        <v>56</v>
      </c>
      <c r="I3" s="10">
        <v>39.99</v>
      </c>
      <c r="J3" s="11">
        <f t="shared" si="1"/>
        <v>3279.18</v>
      </c>
      <c r="K3" s="12">
        <f>J3*Instrucciones!$J$2</f>
        <v>983.754</v>
      </c>
      <c r="L3" s="11">
        <f t="shared" si="2"/>
        <v>2295.426</v>
      </c>
      <c r="M3" s="9" t="str">
        <f t="shared" si="3"/>
        <v>Alto Volumen</v>
      </c>
    </row>
    <row r="4">
      <c r="A4" s="6" t="s">
        <v>72</v>
      </c>
      <c r="B4" s="6" t="s">
        <v>73</v>
      </c>
      <c r="C4" s="6" t="s">
        <v>38</v>
      </c>
      <c r="D4" s="6" t="s">
        <v>71</v>
      </c>
      <c r="E4" s="6">
        <v>30.0</v>
      </c>
      <c r="F4" s="9" t="str">
        <f t="array" ref="F4:I4">XLOOKUP(C4,DimJuegos[ID_Juego],DimJuegos[[Titulo]:[Precio_USD]])</f>
        <v>Hero's Academia Z</v>
      </c>
      <c r="G4" s="9" t="s">
        <v>40</v>
      </c>
      <c r="H4" s="9" t="s">
        <v>41</v>
      </c>
      <c r="I4" s="10">
        <v>59.99</v>
      </c>
      <c r="J4" s="11">
        <f t="shared" si="1"/>
        <v>1799.7</v>
      </c>
      <c r="K4" s="12">
        <f>J4*Instrucciones!$J$2</f>
        <v>539.91</v>
      </c>
      <c r="L4" s="11">
        <f t="shared" si="2"/>
        <v>1259.79</v>
      </c>
      <c r="M4" s="9" t="str">
        <f t="shared" si="3"/>
        <v>Retail</v>
      </c>
    </row>
    <row r="5">
      <c r="A5" s="6" t="s">
        <v>74</v>
      </c>
      <c r="B5" s="6" t="s">
        <v>75</v>
      </c>
      <c r="C5" s="6" t="s">
        <v>46</v>
      </c>
      <c r="D5" s="6" t="s">
        <v>70</v>
      </c>
      <c r="E5" s="6">
        <v>43.0</v>
      </c>
      <c r="F5" s="9" t="str">
        <f t="array" ref="F5:I5">XLOOKUP(C5,DimJuegos[ID_Juego],DimJuegos[[Titulo]:[Precio_USD]])</f>
        <v>Speed Moto 250z</v>
      </c>
      <c r="G5" s="9" t="s">
        <v>48</v>
      </c>
      <c r="H5" s="9" t="s">
        <v>49</v>
      </c>
      <c r="I5" s="10">
        <v>29.99</v>
      </c>
      <c r="J5" s="11">
        <f t="shared" si="1"/>
        <v>1289.57</v>
      </c>
      <c r="K5" s="12">
        <f>J5*Instrucciones!$J$2</f>
        <v>386.871</v>
      </c>
      <c r="L5" s="11">
        <f t="shared" si="2"/>
        <v>902.699</v>
      </c>
      <c r="M5" s="9" t="str">
        <f t="shared" si="3"/>
        <v>Retail</v>
      </c>
    </row>
    <row r="6">
      <c r="A6" s="6" t="s">
        <v>76</v>
      </c>
      <c r="B6" s="6" t="s">
        <v>77</v>
      </c>
      <c r="C6" s="6" t="s">
        <v>38</v>
      </c>
      <c r="D6" s="6" t="s">
        <v>37</v>
      </c>
      <c r="E6" s="6">
        <v>23.0</v>
      </c>
      <c r="F6" s="9" t="str">
        <f t="array" ref="F6:I6">XLOOKUP(C6,DimJuegos[ID_Juego],DimJuegos[[Titulo]:[Precio_USD]])</f>
        <v>Hero's Academia Z</v>
      </c>
      <c r="G6" s="9" t="s">
        <v>40</v>
      </c>
      <c r="H6" s="9" t="s">
        <v>41</v>
      </c>
      <c r="I6" s="10">
        <v>59.99</v>
      </c>
      <c r="J6" s="11">
        <f t="shared" si="1"/>
        <v>1379.77</v>
      </c>
      <c r="K6" s="12">
        <f>J6*Instrucciones!$J$2</f>
        <v>413.931</v>
      </c>
      <c r="L6" s="11">
        <f t="shared" si="2"/>
        <v>965.839</v>
      </c>
      <c r="M6" s="9" t="str">
        <f t="shared" si="3"/>
        <v>Retail</v>
      </c>
    </row>
    <row r="7">
      <c r="A7" s="6" t="s">
        <v>78</v>
      </c>
      <c r="B7" s="6" t="s">
        <v>79</v>
      </c>
      <c r="C7" s="6" t="s">
        <v>24</v>
      </c>
      <c r="D7" s="6" t="s">
        <v>71</v>
      </c>
      <c r="E7" s="6">
        <v>28.0</v>
      </c>
      <c r="F7" s="9" t="str">
        <f t="array" ref="F7:I7">XLOOKUP(C7,DimJuegos[ID_Juego],DimJuegos[[Titulo]:[Precio_USD]])</f>
        <v>Eco's Adventure</v>
      </c>
      <c r="G7" s="9" t="s">
        <v>31</v>
      </c>
      <c r="H7" s="9" t="s">
        <v>32</v>
      </c>
      <c r="I7" s="10">
        <v>15.0</v>
      </c>
      <c r="J7" s="11">
        <f t="shared" si="1"/>
        <v>420</v>
      </c>
      <c r="K7" s="12">
        <f>J7*Instrucciones!$J$2</f>
        <v>126</v>
      </c>
      <c r="L7" s="11">
        <f t="shared" si="2"/>
        <v>294</v>
      </c>
      <c r="M7" s="9" t="str">
        <f t="shared" si="3"/>
        <v>Retail</v>
      </c>
    </row>
    <row r="8">
      <c r="A8" s="6" t="s">
        <v>80</v>
      </c>
      <c r="B8" s="6" t="s">
        <v>79</v>
      </c>
      <c r="C8" s="6" t="s">
        <v>53</v>
      </c>
      <c r="D8" s="6" t="s">
        <v>70</v>
      </c>
      <c r="E8" s="6">
        <v>35.0</v>
      </c>
      <c r="F8" s="9" t="str">
        <f t="array" ref="F8:I8">XLOOKUP(C8,DimJuegos[ID_Juego],DimJuegos[[Titulo]:[Precio_USD]])</f>
        <v>Dark Swordsman</v>
      </c>
      <c r="G8" s="9" t="s">
        <v>55</v>
      </c>
      <c r="H8" s="9" t="s">
        <v>56</v>
      </c>
      <c r="I8" s="10">
        <v>39.99</v>
      </c>
      <c r="J8" s="11">
        <f t="shared" si="1"/>
        <v>1399.65</v>
      </c>
      <c r="K8" s="12">
        <f>J8*Instrucciones!$J$2</f>
        <v>419.895</v>
      </c>
      <c r="L8" s="11">
        <f t="shared" si="2"/>
        <v>979.755</v>
      </c>
      <c r="M8" s="9" t="str">
        <f t="shared" si="3"/>
        <v>Retail</v>
      </c>
    </row>
    <row r="9">
      <c r="A9" s="6" t="s">
        <v>81</v>
      </c>
      <c r="B9" s="6" t="s">
        <v>82</v>
      </c>
      <c r="C9" s="6" t="s">
        <v>53</v>
      </c>
      <c r="D9" s="6" t="s">
        <v>69</v>
      </c>
      <c r="E9" s="6">
        <v>71.0</v>
      </c>
      <c r="F9" s="9" t="str">
        <f t="array" ref="F9:I9">XLOOKUP(C9,DimJuegos[ID_Juego],DimJuegos[[Titulo]:[Precio_USD]])</f>
        <v>Dark Swordsman</v>
      </c>
      <c r="G9" s="9" t="s">
        <v>55</v>
      </c>
      <c r="H9" s="9" t="s">
        <v>56</v>
      </c>
      <c r="I9" s="10">
        <v>39.99</v>
      </c>
      <c r="J9" s="11">
        <f t="shared" si="1"/>
        <v>2839.29</v>
      </c>
      <c r="K9" s="12">
        <f>J9*Instrucciones!$J$2</f>
        <v>851.787</v>
      </c>
      <c r="L9" s="11">
        <f t="shared" si="2"/>
        <v>1987.503</v>
      </c>
      <c r="M9" s="9" t="str">
        <f t="shared" si="3"/>
        <v>Alto Volumen</v>
      </c>
    </row>
    <row r="10">
      <c r="A10" s="6" t="s">
        <v>83</v>
      </c>
      <c r="B10" s="6" t="s">
        <v>84</v>
      </c>
      <c r="C10" s="6" t="s">
        <v>38</v>
      </c>
      <c r="D10" s="6" t="s">
        <v>70</v>
      </c>
      <c r="E10" s="6">
        <v>85.0</v>
      </c>
      <c r="F10" s="9" t="str">
        <f t="array" ref="F10:I10">XLOOKUP(C10,DimJuegos[ID_Juego],DimJuegos[[Titulo]:[Precio_USD]])</f>
        <v>Hero's Academia Z</v>
      </c>
      <c r="G10" s="9" t="s">
        <v>40</v>
      </c>
      <c r="H10" s="9" t="s">
        <v>41</v>
      </c>
      <c r="I10" s="10">
        <v>59.99</v>
      </c>
      <c r="J10" s="11">
        <f t="shared" si="1"/>
        <v>5099.15</v>
      </c>
      <c r="K10" s="12">
        <f>J10*Instrucciones!$J$2</f>
        <v>1529.745</v>
      </c>
      <c r="L10" s="11">
        <f t="shared" si="2"/>
        <v>3569.405</v>
      </c>
      <c r="M10" s="9" t="str">
        <f t="shared" si="3"/>
        <v>Alto Volumen</v>
      </c>
    </row>
    <row r="11">
      <c r="A11" s="6" t="s">
        <v>85</v>
      </c>
      <c r="B11" s="6" t="s">
        <v>86</v>
      </c>
      <c r="C11" s="6" t="s">
        <v>24</v>
      </c>
      <c r="D11" s="6" t="s">
        <v>71</v>
      </c>
      <c r="E11" s="6">
        <v>97.0</v>
      </c>
      <c r="F11" s="9" t="str">
        <f t="array" ref="F11:I11">XLOOKUP(C11,DimJuegos[ID_Juego],DimJuegos[[Titulo]:[Precio_USD]])</f>
        <v>Eco's Adventure</v>
      </c>
      <c r="G11" s="9" t="s">
        <v>31</v>
      </c>
      <c r="H11" s="9" t="s">
        <v>32</v>
      </c>
      <c r="I11" s="10">
        <v>15.0</v>
      </c>
      <c r="J11" s="11">
        <f t="shared" si="1"/>
        <v>1455</v>
      </c>
      <c r="K11" s="12">
        <f>J11*Instrucciones!$J$2</f>
        <v>436.5</v>
      </c>
      <c r="L11" s="11">
        <f t="shared" si="2"/>
        <v>1018.5</v>
      </c>
      <c r="M11" s="9" t="str">
        <f t="shared" si="3"/>
        <v>Alto Volumen</v>
      </c>
    </row>
    <row r="12">
      <c r="A12" s="6" t="s">
        <v>87</v>
      </c>
      <c r="B12" s="6" t="s">
        <v>86</v>
      </c>
      <c r="C12" s="6" t="s">
        <v>61</v>
      </c>
      <c r="D12" s="6" t="s">
        <v>69</v>
      </c>
      <c r="E12" s="6">
        <v>68.0</v>
      </c>
      <c r="F12" s="9" t="str">
        <f t="array" ref="F12:I12">XLOOKUP(C12,DimJuegos[ID_Juego],DimJuegos[[Titulo]:[Precio_USD]])</f>
        <v>Chess Grandmaster</v>
      </c>
      <c r="G12" s="9" t="s">
        <v>63</v>
      </c>
      <c r="H12" s="9" t="s">
        <v>64</v>
      </c>
      <c r="I12" s="10">
        <v>9.99</v>
      </c>
      <c r="J12" s="11">
        <f t="shared" si="1"/>
        <v>679.32</v>
      </c>
      <c r="K12" s="12">
        <f>J12*Instrucciones!$J$2</f>
        <v>203.796</v>
      </c>
      <c r="L12" s="11">
        <f t="shared" si="2"/>
        <v>475.524</v>
      </c>
      <c r="M12" s="9" t="str">
        <f t="shared" si="3"/>
        <v>Alto Volumen</v>
      </c>
    </row>
    <row r="13">
      <c r="A13" s="6" t="s">
        <v>88</v>
      </c>
      <c r="B13" s="6" t="s">
        <v>89</v>
      </c>
      <c r="C13" s="6" t="s">
        <v>57</v>
      </c>
      <c r="D13" s="6" t="s">
        <v>70</v>
      </c>
      <c r="E13" s="6">
        <v>77.0</v>
      </c>
      <c r="F13" s="9" t="str">
        <f t="array" ref="F13:I13">XLOOKUP(C13,DimJuegos[ID_Juego],DimJuegos[[Titulo]:[Precio_USD]])</f>
        <v>Urban Street Wear</v>
      </c>
      <c r="G13" s="9" t="s">
        <v>59</v>
      </c>
      <c r="H13" s="9" t="s">
        <v>60</v>
      </c>
      <c r="I13" s="10">
        <v>19.99</v>
      </c>
      <c r="J13" s="11">
        <f t="shared" si="1"/>
        <v>1539.23</v>
      </c>
      <c r="K13" s="12">
        <f>J13*Instrucciones!$J$2</f>
        <v>461.769</v>
      </c>
      <c r="L13" s="11">
        <f t="shared" si="2"/>
        <v>1077.461</v>
      </c>
      <c r="M13" s="9" t="str">
        <f t="shared" si="3"/>
        <v>Alto Volumen</v>
      </c>
    </row>
    <row r="14">
      <c r="A14" s="6" t="s">
        <v>90</v>
      </c>
      <c r="B14" s="6" t="s">
        <v>89</v>
      </c>
      <c r="C14" s="6" t="s">
        <v>53</v>
      </c>
      <c r="D14" s="6" t="s">
        <v>71</v>
      </c>
      <c r="E14" s="6">
        <v>76.0</v>
      </c>
      <c r="F14" s="9" t="str">
        <f t="array" ref="F14:I14">XLOOKUP(C14,DimJuegos[ID_Juego],DimJuegos[[Titulo]:[Precio_USD]])</f>
        <v>Dark Swordsman</v>
      </c>
      <c r="G14" s="9" t="s">
        <v>55</v>
      </c>
      <c r="H14" s="9" t="s">
        <v>56</v>
      </c>
      <c r="I14" s="10">
        <v>39.99</v>
      </c>
      <c r="J14" s="11">
        <f t="shared" si="1"/>
        <v>3039.24</v>
      </c>
      <c r="K14" s="12">
        <f>J14*Instrucciones!$J$2</f>
        <v>911.772</v>
      </c>
      <c r="L14" s="11">
        <f t="shared" si="2"/>
        <v>2127.468</v>
      </c>
      <c r="M14" s="9" t="str">
        <f t="shared" si="3"/>
        <v>Alto Volumen</v>
      </c>
    </row>
    <row r="15">
      <c r="A15" s="6" t="s">
        <v>91</v>
      </c>
      <c r="B15" s="6" t="s">
        <v>89</v>
      </c>
      <c r="C15" s="6" t="s">
        <v>46</v>
      </c>
      <c r="D15" s="6" t="s">
        <v>69</v>
      </c>
      <c r="E15" s="6">
        <v>92.0</v>
      </c>
      <c r="F15" s="9" t="str">
        <f t="array" ref="F15:I15">XLOOKUP(C15,DimJuegos[ID_Juego],DimJuegos[[Titulo]:[Precio_USD]])</f>
        <v>Speed Moto 250z</v>
      </c>
      <c r="G15" s="9" t="s">
        <v>48</v>
      </c>
      <c r="H15" s="9" t="s">
        <v>49</v>
      </c>
      <c r="I15" s="10">
        <v>29.99</v>
      </c>
      <c r="J15" s="11">
        <f t="shared" si="1"/>
        <v>2759.08</v>
      </c>
      <c r="K15" s="12">
        <f>J15*Instrucciones!$J$2</f>
        <v>827.724</v>
      </c>
      <c r="L15" s="11">
        <f t="shared" si="2"/>
        <v>1931.356</v>
      </c>
      <c r="M15" s="9" t="str">
        <f t="shared" si="3"/>
        <v>Alto Volumen</v>
      </c>
    </row>
    <row r="16">
      <c r="A16" s="6" t="s">
        <v>92</v>
      </c>
      <c r="B16" s="6" t="s">
        <v>93</v>
      </c>
      <c r="C16" s="6" t="s">
        <v>46</v>
      </c>
      <c r="D16" s="6" t="s">
        <v>37</v>
      </c>
      <c r="E16" s="6">
        <v>37.0</v>
      </c>
      <c r="F16" s="9" t="str">
        <f t="array" ref="F16:I16">XLOOKUP(C16,DimJuegos[ID_Juego],DimJuegos[[Titulo]:[Precio_USD]])</f>
        <v>Speed Moto 250z</v>
      </c>
      <c r="G16" s="9" t="s">
        <v>48</v>
      </c>
      <c r="H16" s="9" t="s">
        <v>49</v>
      </c>
      <c r="I16" s="10">
        <v>29.99</v>
      </c>
      <c r="J16" s="11">
        <f t="shared" si="1"/>
        <v>1109.63</v>
      </c>
      <c r="K16" s="12">
        <f>J16*Instrucciones!$J$2</f>
        <v>332.889</v>
      </c>
      <c r="L16" s="11">
        <f t="shared" si="2"/>
        <v>776.741</v>
      </c>
      <c r="M16" s="9" t="str">
        <f t="shared" si="3"/>
        <v>Retail</v>
      </c>
    </row>
    <row r="17">
      <c r="A17" s="6" t="s">
        <v>94</v>
      </c>
      <c r="B17" s="6" t="s">
        <v>93</v>
      </c>
      <c r="C17" s="6" t="s">
        <v>24</v>
      </c>
      <c r="D17" s="6" t="s">
        <v>37</v>
      </c>
      <c r="E17" s="6">
        <v>10.0</v>
      </c>
      <c r="F17" s="9" t="str">
        <f t="array" ref="F17:I17">XLOOKUP(C17,DimJuegos[ID_Juego],DimJuegos[[Titulo]:[Precio_USD]])</f>
        <v>Eco's Adventure</v>
      </c>
      <c r="G17" s="9" t="s">
        <v>31</v>
      </c>
      <c r="H17" s="9" t="s">
        <v>32</v>
      </c>
      <c r="I17" s="10">
        <v>15.0</v>
      </c>
      <c r="J17" s="11">
        <f t="shared" si="1"/>
        <v>150</v>
      </c>
      <c r="K17" s="12">
        <f>J17*Instrucciones!$J$2</f>
        <v>45</v>
      </c>
      <c r="L17" s="11">
        <f t="shared" si="2"/>
        <v>105</v>
      </c>
      <c r="M17" s="9" t="str">
        <f t="shared" si="3"/>
        <v>Retail</v>
      </c>
    </row>
    <row r="18">
      <c r="A18" s="6" t="s">
        <v>95</v>
      </c>
      <c r="B18" s="6" t="s">
        <v>93</v>
      </c>
      <c r="C18" s="6" t="s">
        <v>53</v>
      </c>
      <c r="D18" s="6" t="s">
        <v>69</v>
      </c>
      <c r="E18" s="6">
        <v>41.0</v>
      </c>
      <c r="F18" s="9" t="str">
        <f t="array" ref="F18:I18">XLOOKUP(C18,DimJuegos[ID_Juego],DimJuegos[[Titulo]:[Precio_USD]])</f>
        <v>Dark Swordsman</v>
      </c>
      <c r="G18" s="9" t="s">
        <v>55</v>
      </c>
      <c r="H18" s="9" t="s">
        <v>56</v>
      </c>
      <c r="I18" s="10">
        <v>39.99</v>
      </c>
      <c r="J18" s="11">
        <f t="shared" si="1"/>
        <v>1639.59</v>
      </c>
      <c r="K18" s="12">
        <f>J18*Instrucciones!$J$2</f>
        <v>491.877</v>
      </c>
      <c r="L18" s="11">
        <f t="shared" si="2"/>
        <v>1147.713</v>
      </c>
      <c r="M18" s="9" t="str">
        <f t="shared" si="3"/>
        <v>Retail</v>
      </c>
    </row>
    <row r="19">
      <c r="A19" s="6" t="s">
        <v>96</v>
      </c>
      <c r="B19" s="6" t="s">
        <v>97</v>
      </c>
      <c r="C19" s="6" t="s">
        <v>36</v>
      </c>
      <c r="D19" s="6" t="s">
        <v>66</v>
      </c>
      <c r="E19" s="6">
        <v>35.0</v>
      </c>
      <c r="F19" s="9" t="str">
        <f t="array" ref="F19:I19">XLOOKUP(C19,DimJuegos[ID_Juego],DimJuegos[[Titulo]:[Precio_USD]])</f>
        <v>Soccer Lock 2027</v>
      </c>
      <c r="G19" s="9" t="s">
        <v>51</v>
      </c>
      <c r="H19" s="9" t="s">
        <v>52</v>
      </c>
      <c r="I19" s="10">
        <v>69.99</v>
      </c>
      <c r="J19" s="11">
        <f t="shared" si="1"/>
        <v>2449.65</v>
      </c>
      <c r="K19" s="12">
        <f>J19*Instrucciones!$J$2</f>
        <v>734.895</v>
      </c>
      <c r="L19" s="11">
        <f t="shared" si="2"/>
        <v>1714.755</v>
      </c>
      <c r="M19" s="9" t="str">
        <f t="shared" si="3"/>
        <v>Retail</v>
      </c>
    </row>
    <row r="20">
      <c r="A20" s="6" t="s">
        <v>98</v>
      </c>
      <c r="B20" s="6" t="s">
        <v>97</v>
      </c>
      <c r="C20" s="6" t="s">
        <v>61</v>
      </c>
      <c r="D20" s="6" t="s">
        <v>69</v>
      </c>
      <c r="E20" s="6">
        <v>13.0</v>
      </c>
      <c r="F20" s="9" t="str">
        <f t="array" ref="F20:I20">XLOOKUP(C20,DimJuegos[ID_Juego],DimJuegos[[Titulo]:[Precio_USD]])</f>
        <v>Chess Grandmaster</v>
      </c>
      <c r="G20" s="9" t="s">
        <v>63</v>
      </c>
      <c r="H20" s="9" t="s">
        <v>64</v>
      </c>
      <c r="I20" s="10">
        <v>9.99</v>
      </c>
      <c r="J20" s="11">
        <f t="shared" si="1"/>
        <v>129.87</v>
      </c>
      <c r="K20" s="12">
        <f>J20*Instrucciones!$J$2</f>
        <v>38.961</v>
      </c>
      <c r="L20" s="11">
        <f t="shared" si="2"/>
        <v>90.909</v>
      </c>
      <c r="M20" s="9" t="str">
        <f t="shared" si="3"/>
        <v>Retail</v>
      </c>
    </row>
    <row r="21" ht="15.75" customHeight="1">
      <c r="A21" s="6" t="s">
        <v>99</v>
      </c>
      <c r="B21" s="6" t="s">
        <v>100</v>
      </c>
      <c r="C21" s="6" t="s">
        <v>57</v>
      </c>
      <c r="D21" s="6" t="s">
        <v>71</v>
      </c>
      <c r="E21" s="6">
        <v>46.0</v>
      </c>
      <c r="F21" s="9" t="str">
        <f t="array" ref="F21:I21">XLOOKUP(C21,DimJuegos[ID_Juego],DimJuegos[[Titulo]:[Precio_USD]])</f>
        <v>Urban Street Wear</v>
      </c>
      <c r="G21" s="9" t="s">
        <v>59</v>
      </c>
      <c r="H21" s="9" t="s">
        <v>60</v>
      </c>
      <c r="I21" s="10">
        <v>19.99</v>
      </c>
      <c r="J21" s="11">
        <f t="shared" si="1"/>
        <v>919.54</v>
      </c>
      <c r="K21" s="12">
        <f>J21*Instrucciones!$J$2</f>
        <v>275.862</v>
      </c>
      <c r="L21" s="11">
        <f t="shared" si="2"/>
        <v>643.678</v>
      </c>
      <c r="M21" s="9" t="str">
        <f t="shared" si="3"/>
        <v>Retail</v>
      </c>
    </row>
    <row r="22" ht="15.75" customHeight="1">
      <c r="A22" s="6" t="s">
        <v>101</v>
      </c>
      <c r="B22" s="6" t="s">
        <v>102</v>
      </c>
      <c r="C22" s="6" t="s">
        <v>38</v>
      </c>
      <c r="D22" s="6" t="s">
        <v>69</v>
      </c>
      <c r="E22" s="6">
        <v>55.0</v>
      </c>
      <c r="F22" s="9" t="str">
        <f t="array" ref="F22:I22">XLOOKUP(C22,DimJuegos[ID_Juego],DimJuegos[[Titulo]:[Precio_USD]])</f>
        <v>Hero's Academia Z</v>
      </c>
      <c r="G22" s="9" t="s">
        <v>40</v>
      </c>
      <c r="H22" s="9" t="s">
        <v>41</v>
      </c>
      <c r="I22" s="10">
        <v>59.99</v>
      </c>
      <c r="J22" s="11">
        <f t="shared" si="1"/>
        <v>3299.45</v>
      </c>
      <c r="K22" s="12">
        <f>J22*Instrucciones!$J$2</f>
        <v>989.835</v>
      </c>
      <c r="L22" s="11">
        <f t="shared" si="2"/>
        <v>2309.615</v>
      </c>
      <c r="M22" s="9" t="str">
        <f t="shared" si="3"/>
        <v>Alto Volumen</v>
      </c>
    </row>
    <row r="23" ht="15.75" customHeight="1">
      <c r="A23" s="6" t="s">
        <v>103</v>
      </c>
      <c r="B23" s="6" t="s">
        <v>104</v>
      </c>
      <c r="C23" s="6" t="s">
        <v>38</v>
      </c>
      <c r="D23" s="6" t="s">
        <v>66</v>
      </c>
      <c r="E23" s="6">
        <v>70.0</v>
      </c>
      <c r="F23" s="9" t="str">
        <f t="array" ref="F23:I23">XLOOKUP(C23,DimJuegos[ID_Juego],DimJuegos[[Titulo]:[Precio_USD]])</f>
        <v>Hero's Academia Z</v>
      </c>
      <c r="G23" s="9" t="s">
        <v>40</v>
      </c>
      <c r="H23" s="9" t="s">
        <v>41</v>
      </c>
      <c r="I23" s="10">
        <v>59.99</v>
      </c>
      <c r="J23" s="11">
        <f t="shared" si="1"/>
        <v>4199.3</v>
      </c>
      <c r="K23" s="12">
        <f>J23*Instrucciones!$J$2</f>
        <v>1259.79</v>
      </c>
      <c r="L23" s="11">
        <f t="shared" si="2"/>
        <v>2939.51</v>
      </c>
      <c r="M23" s="9" t="str">
        <f t="shared" si="3"/>
        <v>Alto Volumen</v>
      </c>
    </row>
    <row r="24" ht="15.75" customHeight="1">
      <c r="A24" s="6" t="s">
        <v>105</v>
      </c>
      <c r="B24" s="6" t="s">
        <v>106</v>
      </c>
      <c r="C24" s="6" t="s">
        <v>38</v>
      </c>
      <c r="D24" s="6" t="s">
        <v>69</v>
      </c>
      <c r="E24" s="6">
        <v>20.0</v>
      </c>
      <c r="F24" s="9" t="str">
        <f t="array" ref="F24:I24">XLOOKUP(C24,DimJuegos[ID_Juego],DimJuegos[[Titulo]:[Precio_USD]])</f>
        <v>Hero's Academia Z</v>
      </c>
      <c r="G24" s="9" t="s">
        <v>40</v>
      </c>
      <c r="H24" s="9" t="s">
        <v>41</v>
      </c>
      <c r="I24" s="10">
        <v>59.99</v>
      </c>
      <c r="J24" s="11">
        <f t="shared" si="1"/>
        <v>1199.8</v>
      </c>
      <c r="K24" s="12">
        <f>J24*Instrucciones!$J$2</f>
        <v>359.94</v>
      </c>
      <c r="L24" s="11">
        <f t="shared" si="2"/>
        <v>839.86</v>
      </c>
      <c r="M24" s="9" t="str">
        <f t="shared" si="3"/>
        <v>Retail</v>
      </c>
    </row>
    <row r="25" ht="15.75" customHeight="1">
      <c r="A25" s="6" t="s">
        <v>107</v>
      </c>
      <c r="B25" s="6" t="s">
        <v>106</v>
      </c>
      <c r="C25" s="6" t="s">
        <v>57</v>
      </c>
      <c r="D25" s="6" t="s">
        <v>69</v>
      </c>
      <c r="E25" s="6">
        <v>25.0</v>
      </c>
      <c r="F25" s="9" t="str">
        <f t="array" ref="F25:I25">XLOOKUP(C25,DimJuegos[ID_Juego],DimJuegos[[Titulo]:[Precio_USD]])</f>
        <v>Urban Street Wear</v>
      </c>
      <c r="G25" s="9" t="s">
        <v>59</v>
      </c>
      <c r="H25" s="9" t="s">
        <v>60</v>
      </c>
      <c r="I25" s="10">
        <v>19.99</v>
      </c>
      <c r="J25" s="11">
        <f t="shared" si="1"/>
        <v>499.75</v>
      </c>
      <c r="K25" s="12">
        <f>J25*Instrucciones!$J$2</f>
        <v>149.925</v>
      </c>
      <c r="L25" s="11">
        <f t="shared" si="2"/>
        <v>349.825</v>
      </c>
      <c r="M25" s="9" t="str">
        <f t="shared" si="3"/>
        <v>Retail</v>
      </c>
    </row>
    <row r="26" ht="15.75" customHeight="1">
      <c r="A26" s="6" t="s">
        <v>108</v>
      </c>
      <c r="B26" s="6" t="s">
        <v>109</v>
      </c>
      <c r="C26" s="6" t="s">
        <v>42</v>
      </c>
      <c r="D26" s="6" t="s">
        <v>70</v>
      </c>
      <c r="E26" s="6">
        <v>71.0</v>
      </c>
      <c r="F26" s="9" t="str">
        <f t="array" ref="F26:I26">XLOOKUP(C26,DimJuegos[ID_Juego],DimJuegos[[Titulo]:[Precio_USD]])</f>
        <v>Pirate King Quest</v>
      </c>
      <c r="G26" s="9" t="s">
        <v>44</v>
      </c>
      <c r="H26" s="9" t="s">
        <v>45</v>
      </c>
      <c r="I26" s="10">
        <v>49.99</v>
      </c>
      <c r="J26" s="11">
        <f t="shared" si="1"/>
        <v>3549.29</v>
      </c>
      <c r="K26" s="12">
        <f>J26*Instrucciones!$J$2</f>
        <v>1064.787</v>
      </c>
      <c r="L26" s="11">
        <f t="shared" si="2"/>
        <v>2484.503</v>
      </c>
      <c r="M26" s="9" t="str">
        <f t="shared" si="3"/>
        <v>Alto Volumen</v>
      </c>
    </row>
    <row r="27" ht="15.75" customHeight="1">
      <c r="A27" s="6" t="s">
        <v>110</v>
      </c>
      <c r="B27" s="6" t="s">
        <v>111</v>
      </c>
      <c r="C27" s="6" t="s">
        <v>46</v>
      </c>
      <c r="D27" s="6" t="s">
        <v>69</v>
      </c>
      <c r="E27" s="6">
        <v>69.0</v>
      </c>
      <c r="F27" s="9" t="str">
        <f t="array" ref="F27:I27">XLOOKUP(C27,DimJuegos[ID_Juego],DimJuegos[[Titulo]:[Precio_USD]])</f>
        <v>Speed Moto 250z</v>
      </c>
      <c r="G27" s="9" t="s">
        <v>48</v>
      </c>
      <c r="H27" s="9" t="s">
        <v>49</v>
      </c>
      <c r="I27" s="10">
        <v>29.99</v>
      </c>
      <c r="J27" s="11">
        <f t="shared" si="1"/>
        <v>2069.31</v>
      </c>
      <c r="K27" s="12">
        <f>J27*Instrucciones!$J$2</f>
        <v>620.793</v>
      </c>
      <c r="L27" s="11">
        <f t="shared" si="2"/>
        <v>1448.517</v>
      </c>
      <c r="M27" s="9" t="str">
        <f t="shared" si="3"/>
        <v>Alto Volumen</v>
      </c>
    </row>
    <row r="28" ht="15.75" customHeight="1">
      <c r="A28" s="6" t="s">
        <v>112</v>
      </c>
      <c r="B28" s="6" t="s">
        <v>111</v>
      </c>
      <c r="C28" s="6" t="s">
        <v>42</v>
      </c>
      <c r="D28" s="6" t="s">
        <v>66</v>
      </c>
      <c r="E28" s="6">
        <v>50.0</v>
      </c>
      <c r="F28" s="9" t="str">
        <f t="array" ref="F28:I28">XLOOKUP(C28,DimJuegos[ID_Juego],DimJuegos[[Titulo]:[Precio_USD]])</f>
        <v>Pirate King Quest</v>
      </c>
      <c r="G28" s="9" t="s">
        <v>44</v>
      </c>
      <c r="H28" s="9" t="s">
        <v>45</v>
      </c>
      <c r="I28" s="10">
        <v>49.99</v>
      </c>
      <c r="J28" s="11">
        <f t="shared" si="1"/>
        <v>2499.5</v>
      </c>
      <c r="K28" s="12">
        <f>J28*Instrucciones!$J$2</f>
        <v>749.85</v>
      </c>
      <c r="L28" s="11">
        <f t="shared" si="2"/>
        <v>1749.65</v>
      </c>
      <c r="M28" s="9" t="str">
        <f t="shared" si="3"/>
        <v>Retail</v>
      </c>
    </row>
    <row r="29" ht="15.75" customHeight="1">
      <c r="A29" s="6" t="s">
        <v>113</v>
      </c>
      <c r="B29" s="6" t="s">
        <v>114</v>
      </c>
      <c r="C29" s="6" t="s">
        <v>57</v>
      </c>
      <c r="D29" s="6" t="s">
        <v>66</v>
      </c>
      <c r="E29" s="6">
        <v>6.0</v>
      </c>
      <c r="F29" s="9" t="str">
        <f t="array" ref="F29:I29">XLOOKUP(C29,DimJuegos[ID_Juego],DimJuegos[[Titulo]:[Precio_USD]])</f>
        <v>Urban Street Wear</v>
      </c>
      <c r="G29" s="9" t="s">
        <v>59</v>
      </c>
      <c r="H29" s="9" t="s">
        <v>60</v>
      </c>
      <c r="I29" s="10">
        <v>19.99</v>
      </c>
      <c r="J29" s="11">
        <f t="shared" si="1"/>
        <v>119.94</v>
      </c>
      <c r="K29" s="12">
        <f>J29*Instrucciones!$J$2</f>
        <v>35.982</v>
      </c>
      <c r="L29" s="11">
        <f t="shared" si="2"/>
        <v>83.958</v>
      </c>
      <c r="M29" s="9" t="str">
        <f t="shared" si="3"/>
        <v>Retail</v>
      </c>
    </row>
    <row r="30" ht="15.75" customHeight="1">
      <c r="A30" s="6" t="s">
        <v>115</v>
      </c>
      <c r="B30" s="6" t="s">
        <v>114</v>
      </c>
      <c r="C30" s="6" t="s">
        <v>24</v>
      </c>
      <c r="D30" s="6" t="s">
        <v>71</v>
      </c>
      <c r="E30" s="6">
        <v>32.0</v>
      </c>
      <c r="F30" s="9" t="str">
        <f t="array" ref="F30:I30">XLOOKUP(C30,DimJuegos[ID_Juego],DimJuegos[[Titulo]:[Precio_USD]])</f>
        <v>Eco's Adventure</v>
      </c>
      <c r="G30" s="9" t="s">
        <v>31</v>
      </c>
      <c r="H30" s="9" t="s">
        <v>32</v>
      </c>
      <c r="I30" s="10">
        <v>15.0</v>
      </c>
      <c r="J30" s="11">
        <f t="shared" si="1"/>
        <v>480</v>
      </c>
      <c r="K30" s="12">
        <f>J30*Instrucciones!$J$2</f>
        <v>144</v>
      </c>
      <c r="L30" s="11">
        <f t="shared" si="2"/>
        <v>336</v>
      </c>
      <c r="M30" s="9" t="str">
        <f t="shared" si="3"/>
        <v>Retail</v>
      </c>
    </row>
    <row r="31" ht="15.75" customHeight="1">
      <c r="A31" s="6" t="s">
        <v>116</v>
      </c>
      <c r="B31" s="6" t="s">
        <v>117</v>
      </c>
      <c r="C31" s="6" t="s">
        <v>46</v>
      </c>
      <c r="D31" s="6" t="s">
        <v>37</v>
      </c>
      <c r="E31" s="6">
        <v>14.0</v>
      </c>
      <c r="F31" s="9" t="str">
        <f t="array" ref="F31:I31">XLOOKUP(C31,DimJuegos[ID_Juego],DimJuegos[[Titulo]:[Precio_USD]])</f>
        <v>Speed Moto 250z</v>
      </c>
      <c r="G31" s="9" t="s">
        <v>48</v>
      </c>
      <c r="H31" s="9" t="s">
        <v>49</v>
      </c>
      <c r="I31" s="10">
        <v>29.99</v>
      </c>
      <c r="J31" s="11">
        <f t="shared" si="1"/>
        <v>419.86</v>
      </c>
      <c r="K31" s="12">
        <f>J31*Instrucciones!$J$2</f>
        <v>125.958</v>
      </c>
      <c r="L31" s="11">
        <f t="shared" si="2"/>
        <v>293.902</v>
      </c>
      <c r="M31" s="9" t="str">
        <f t="shared" si="3"/>
        <v>Retail</v>
      </c>
    </row>
    <row r="32" ht="15.75" customHeight="1">
      <c r="A32" s="6" t="s">
        <v>118</v>
      </c>
      <c r="B32" s="6" t="s">
        <v>117</v>
      </c>
      <c r="C32" s="6" t="s">
        <v>42</v>
      </c>
      <c r="D32" s="6" t="s">
        <v>70</v>
      </c>
      <c r="E32" s="6">
        <v>77.0</v>
      </c>
      <c r="F32" s="9" t="str">
        <f t="array" ref="F32:I32">XLOOKUP(C32,DimJuegos[ID_Juego],DimJuegos[[Titulo]:[Precio_USD]])</f>
        <v>Pirate King Quest</v>
      </c>
      <c r="G32" s="9" t="s">
        <v>44</v>
      </c>
      <c r="H32" s="9" t="s">
        <v>45</v>
      </c>
      <c r="I32" s="10">
        <v>49.99</v>
      </c>
      <c r="J32" s="11">
        <f t="shared" si="1"/>
        <v>3849.23</v>
      </c>
      <c r="K32" s="12">
        <f>J32*Instrucciones!$J$2</f>
        <v>1154.769</v>
      </c>
      <c r="L32" s="11">
        <f t="shared" si="2"/>
        <v>2694.461</v>
      </c>
      <c r="M32" s="9" t="str">
        <f t="shared" si="3"/>
        <v>Alto Volumen</v>
      </c>
    </row>
    <row r="33" ht="15.75" customHeight="1">
      <c r="A33" s="6" t="s">
        <v>119</v>
      </c>
      <c r="B33" s="6" t="s">
        <v>117</v>
      </c>
      <c r="C33" s="6" t="s">
        <v>46</v>
      </c>
      <c r="D33" s="6" t="s">
        <v>66</v>
      </c>
      <c r="E33" s="6">
        <v>23.0</v>
      </c>
      <c r="F33" s="9" t="str">
        <f t="array" ref="F33:I33">XLOOKUP(C33,DimJuegos[ID_Juego],DimJuegos[[Titulo]:[Precio_USD]])</f>
        <v>Speed Moto 250z</v>
      </c>
      <c r="G33" s="9" t="s">
        <v>48</v>
      </c>
      <c r="H33" s="9" t="s">
        <v>49</v>
      </c>
      <c r="I33" s="10">
        <v>29.99</v>
      </c>
      <c r="J33" s="11">
        <f t="shared" si="1"/>
        <v>689.77</v>
      </c>
      <c r="K33" s="12">
        <f>J33*Instrucciones!$J$2</f>
        <v>206.931</v>
      </c>
      <c r="L33" s="11">
        <f t="shared" si="2"/>
        <v>482.839</v>
      </c>
      <c r="M33" s="9" t="str">
        <f t="shared" si="3"/>
        <v>Retail</v>
      </c>
    </row>
    <row r="34" ht="15.75" customHeight="1">
      <c r="A34" s="6" t="s">
        <v>120</v>
      </c>
      <c r="B34" s="6" t="s">
        <v>121</v>
      </c>
      <c r="C34" s="6" t="s">
        <v>61</v>
      </c>
      <c r="D34" s="6" t="s">
        <v>69</v>
      </c>
      <c r="E34" s="6">
        <v>91.0</v>
      </c>
      <c r="F34" s="9" t="str">
        <f t="array" ref="F34:I34">XLOOKUP(C34,DimJuegos[ID_Juego],DimJuegos[[Titulo]:[Precio_USD]])</f>
        <v>Chess Grandmaster</v>
      </c>
      <c r="G34" s="9" t="s">
        <v>63</v>
      </c>
      <c r="H34" s="9" t="s">
        <v>64</v>
      </c>
      <c r="I34" s="10">
        <v>9.99</v>
      </c>
      <c r="J34" s="11">
        <f t="shared" si="1"/>
        <v>909.09</v>
      </c>
      <c r="K34" s="12">
        <f>J34*Instrucciones!$J$2</f>
        <v>272.727</v>
      </c>
      <c r="L34" s="11">
        <f t="shared" si="2"/>
        <v>636.363</v>
      </c>
      <c r="M34" s="9" t="str">
        <f t="shared" si="3"/>
        <v>Alto Volumen</v>
      </c>
    </row>
    <row r="35" ht="15.75" customHeight="1">
      <c r="A35" s="6" t="s">
        <v>122</v>
      </c>
      <c r="B35" s="6" t="s">
        <v>121</v>
      </c>
      <c r="C35" s="6" t="s">
        <v>38</v>
      </c>
      <c r="D35" s="6" t="s">
        <v>70</v>
      </c>
      <c r="E35" s="6">
        <v>5.0</v>
      </c>
      <c r="F35" s="9" t="str">
        <f t="array" ref="F35:I35">XLOOKUP(C35,DimJuegos[ID_Juego],DimJuegos[[Titulo]:[Precio_USD]])</f>
        <v>Hero's Academia Z</v>
      </c>
      <c r="G35" s="9" t="s">
        <v>40</v>
      </c>
      <c r="H35" s="9" t="s">
        <v>41</v>
      </c>
      <c r="I35" s="10">
        <v>59.99</v>
      </c>
      <c r="J35" s="11">
        <f t="shared" si="1"/>
        <v>299.95</v>
      </c>
      <c r="K35" s="12">
        <f>J35*Instrucciones!$J$2</f>
        <v>89.985</v>
      </c>
      <c r="L35" s="11">
        <f t="shared" si="2"/>
        <v>209.965</v>
      </c>
      <c r="M35" s="9" t="str">
        <f t="shared" si="3"/>
        <v>Retail</v>
      </c>
    </row>
    <row r="36" ht="15.75" customHeight="1">
      <c r="A36" s="6" t="s">
        <v>123</v>
      </c>
      <c r="B36" s="6" t="s">
        <v>121</v>
      </c>
      <c r="C36" s="6" t="s">
        <v>24</v>
      </c>
      <c r="D36" s="6" t="s">
        <v>69</v>
      </c>
      <c r="E36" s="6">
        <v>11.0</v>
      </c>
      <c r="F36" s="9" t="str">
        <f t="array" ref="F36:I36">XLOOKUP(C36,DimJuegos[ID_Juego],DimJuegos[[Titulo]:[Precio_USD]])</f>
        <v>Eco's Adventure</v>
      </c>
      <c r="G36" s="9" t="s">
        <v>31</v>
      </c>
      <c r="H36" s="9" t="s">
        <v>32</v>
      </c>
      <c r="I36" s="10">
        <v>15.0</v>
      </c>
      <c r="J36" s="11">
        <f t="shared" si="1"/>
        <v>165</v>
      </c>
      <c r="K36" s="12">
        <f>J36*Instrucciones!$J$2</f>
        <v>49.5</v>
      </c>
      <c r="L36" s="11">
        <f t="shared" si="2"/>
        <v>115.5</v>
      </c>
      <c r="M36" s="9" t="str">
        <f t="shared" si="3"/>
        <v>Retail</v>
      </c>
    </row>
    <row r="37" ht="15.75" customHeight="1">
      <c r="A37" s="6" t="s">
        <v>124</v>
      </c>
      <c r="B37" s="6" t="s">
        <v>121</v>
      </c>
      <c r="C37" s="6" t="s">
        <v>61</v>
      </c>
      <c r="D37" s="6" t="s">
        <v>70</v>
      </c>
      <c r="E37" s="6">
        <v>34.0</v>
      </c>
      <c r="F37" s="9" t="str">
        <f t="array" ref="F37:I37">XLOOKUP(C37,DimJuegos[ID_Juego],DimJuegos[[Titulo]:[Precio_USD]])</f>
        <v>Chess Grandmaster</v>
      </c>
      <c r="G37" s="9" t="s">
        <v>63</v>
      </c>
      <c r="H37" s="9" t="s">
        <v>64</v>
      </c>
      <c r="I37" s="10">
        <v>9.99</v>
      </c>
      <c r="J37" s="11">
        <f t="shared" si="1"/>
        <v>339.66</v>
      </c>
      <c r="K37" s="12">
        <f>J37*Instrucciones!$J$2</f>
        <v>101.898</v>
      </c>
      <c r="L37" s="11">
        <f t="shared" si="2"/>
        <v>237.762</v>
      </c>
      <c r="M37" s="9" t="str">
        <f t="shared" si="3"/>
        <v>Retail</v>
      </c>
    </row>
    <row r="38" ht="15.75" customHeight="1">
      <c r="A38" s="6" t="s">
        <v>125</v>
      </c>
      <c r="B38" s="6" t="s">
        <v>121</v>
      </c>
      <c r="C38" s="6" t="s">
        <v>57</v>
      </c>
      <c r="D38" s="6" t="s">
        <v>37</v>
      </c>
      <c r="E38" s="6">
        <v>36.0</v>
      </c>
      <c r="F38" s="9" t="str">
        <f t="array" ref="F38:I38">XLOOKUP(C38,DimJuegos[ID_Juego],DimJuegos[[Titulo]:[Precio_USD]])</f>
        <v>Urban Street Wear</v>
      </c>
      <c r="G38" s="9" t="s">
        <v>59</v>
      </c>
      <c r="H38" s="9" t="s">
        <v>60</v>
      </c>
      <c r="I38" s="10">
        <v>19.99</v>
      </c>
      <c r="J38" s="11">
        <f t="shared" si="1"/>
        <v>719.64</v>
      </c>
      <c r="K38" s="12">
        <f>J38*Instrucciones!$J$2</f>
        <v>215.892</v>
      </c>
      <c r="L38" s="11">
        <f t="shared" si="2"/>
        <v>503.748</v>
      </c>
      <c r="M38" s="9" t="str">
        <f t="shared" si="3"/>
        <v>Retail</v>
      </c>
    </row>
    <row r="39" ht="15.75" customHeight="1">
      <c r="A39" s="6" t="s">
        <v>126</v>
      </c>
      <c r="B39" s="6" t="s">
        <v>127</v>
      </c>
      <c r="C39" s="6" t="s">
        <v>24</v>
      </c>
      <c r="D39" s="6" t="s">
        <v>69</v>
      </c>
      <c r="E39" s="6">
        <v>42.0</v>
      </c>
      <c r="F39" s="9" t="str">
        <f t="array" ref="F39:I39">XLOOKUP(C39,DimJuegos[ID_Juego],DimJuegos[[Titulo]:[Precio_USD]])</f>
        <v>Eco's Adventure</v>
      </c>
      <c r="G39" s="9" t="s">
        <v>31</v>
      </c>
      <c r="H39" s="9" t="s">
        <v>32</v>
      </c>
      <c r="I39" s="10">
        <v>15.0</v>
      </c>
      <c r="J39" s="11">
        <f t="shared" si="1"/>
        <v>630</v>
      </c>
      <c r="K39" s="12">
        <f>J39*Instrucciones!$J$2</f>
        <v>189</v>
      </c>
      <c r="L39" s="11">
        <f t="shared" si="2"/>
        <v>441</v>
      </c>
      <c r="M39" s="9" t="str">
        <f t="shared" si="3"/>
        <v>Retail</v>
      </c>
    </row>
    <row r="40" ht="15.75" customHeight="1">
      <c r="A40" s="6" t="s">
        <v>128</v>
      </c>
      <c r="B40" s="6" t="s">
        <v>129</v>
      </c>
      <c r="C40" s="6" t="s">
        <v>57</v>
      </c>
      <c r="D40" s="6" t="s">
        <v>71</v>
      </c>
      <c r="E40" s="6">
        <v>50.0</v>
      </c>
      <c r="F40" s="9" t="str">
        <f t="array" ref="F40:I40">XLOOKUP(C40,DimJuegos[ID_Juego],DimJuegos[[Titulo]:[Precio_USD]])</f>
        <v>Urban Street Wear</v>
      </c>
      <c r="G40" s="9" t="s">
        <v>59</v>
      </c>
      <c r="H40" s="9" t="s">
        <v>60</v>
      </c>
      <c r="I40" s="10">
        <v>19.99</v>
      </c>
      <c r="J40" s="11">
        <f t="shared" si="1"/>
        <v>999.5</v>
      </c>
      <c r="K40" s="12">
        <f>J40*Instrucciones!$J$2</f>
        <v>299.85</v>
      </c>
      <c r="L40" s="11">
        <f t="shared" si="2"/>
        <v>699.65</v>
      </c>
      <c r="M40" s="9" t="str">
        <f t="shared" si="3"/>
        <v>Retail</v>
      </c>
    </row>
    <row r="41" ht="15.75" customHeight="1">
      <c r="A41" s="6" t="s">
        <v>130</v>
      </c>
      <c r="B41" s="6" t="s">
        <v>129</v>
      </c>
      <c r="C41" s="6" t="s">
        <v>36</v>
      </c>
      <c r="D41" s="6" t="s">
        <v>69</v>
      </c>
      <c r="E41" s="6">
        <v>78.0</v>
      </c>
      <c r="F41" s="9" t="str">
        <f t="array" ref="F41:I41">XLOOKUP(C41,DimJuegos[ID_Juego],DimJuegos[[Titulo]:[Precio_USD]])</f>
        <v>Soccer Lock 2027</v>
      </c>
      <c r="G41" s="9" t="s">
        <v>51</v>
      </c>
      <c r="H41" s="9" t="s">
        <v>52</v>
      </c>
      <c r="I41" s="10">
        <v>69.99</v>
      </c>
      <c r="J41" s="11">
        <f t="shared" si="1"/>
        <v>5459.22</v>
      </c>
      <c r="K41" s="12">
        <f>J41*Instrucciones!$J$2</f>
        <v>1637.766</v>
      </c>
      <c r="L41" s="11">
        <f t="shared" si="2"/>
        <v>3821.454</v>
      </c>
      <c r="M41" s="9" t="str">
        <f t="shared" si="3"/>
        <v>Alto Volumen</v>
      </c>
    </row>
    <row r="42" ht="15.75" customHeight="1">
      <c r="A42" s="6" t="s">
        <v>131</v>
      </c>
      <c r="B42" s="6" t="s">
        <v>132</v>
      </c>
      <c r="C42" s="6" t="s">
        <v>38</v>
      </c>
      <c r="D42" s="6" t="s">
        <v>37</v>
      </c>
      <c r="E42" s="6">
        <v>66.0</v>
      </c>
      <c r="F42" s="9" t="str">
        <f t="array" ref="F42:I42">XLOOKUP(C42,DimJuegos[ID_Juego],DimJuegos[[Titulo]:[Precio_USD]])</f>
        <v>Hero's Academia Z</v>
      </c>
      <c r="G42" s="9" t="s">
        <v>40</v>
      </c>
      <c r="H42" s="9" t="s">
        <v>41</v>
      </c>
      <c r="I42" s="10">
        <v>59.99</v>
      </c>
      <c r="J42" s="11">
        <f t="shared" si="1"/>
        <v>3959.34</v>
      </c>
      <c r="K42" s="12">
        <f>J42*Instrucciones!$J$2</f>
        <v>1187.802</v>
      </c>
      <c r="L42" s="11">
        <f t="shared" si="2"/>
        <v>2771.538</v>
      </c>
      <c r="M42" s="9" t="str">
        <f t="shared" si="3"/>
        <v>Alto Volumen</v>
      </c>
    </row>
    <row r="43" ht="15.75" customHeight="1">
      <c r="A43" s="6" t="s">
        <v>133</v>
      </c>
      <c r="B43" s="6" t="s">
        <v>132</v>
      </c>
      <c r="C43" s="6" t="s">
        <v>46</v>
      </c>
      <c r="D43" s="6" t="s">
        <v>66</v>
      </c>
      <c r="E43" s="6">
        <v>60.0</v>
      </c>
      <c r="F43" s="9" t="str">
        <f t="array" ref="F43:I43">XLOOKUP(C43,DimJuegos[ID_Juego],DimJuegos[[Titulo]:[Precio_USD]])</f>
        <v>Speed Moto 250z</v>
      </c>
      <c r="G43" s="9" t="s">
        <v>48</v>
      </c>
      <c r="H43" s="9" t="s">
        <v>49</v>
      </c>
      <c r="I43" s="10">
        <v>29.99</v>
      </c>
      <c r="J43" s="11">
        <f t="shared" si="1"/>
        <v>1799.4</v>
      </c>
      <c r="K43" s="12">
        <f>J43*Instrucciones!$J$2</f>
        <v>539.82</v>
      </c>
      <c r="L43" s="11">
        <f t="shared" si="2"/>
        <v>1259.58</v>
      </c>
      <c r="M43" s="9" t="str">
        <f t="shared" si="3"/>
        <v>Alto Volumen</v>
      </c>
    </row>
    <row r="44" ht="15.75" customHeight="1">
      <c r="A44" s="6" t="s">
        <v>134</v>
      </c>
      <c r="B44" s="6" t="s">
        <v>135</v>
      </c>
      <c r="C44" s="6" t="s">
        <v>36</v>
      </c>
      <c r="D44" s="6" t="s">
        <v>70</v>
      </c>
      <c r="E44" s="6">
        <v>71.0</v>
      </c>
      <c r="F44" s="9" t="str">
        <f t="array" ref="F44:I44">XLOOKUP(C44,DimJuegos[ID_Juego],DimJuegos[[Titulo]:[Precio_USD]])</f>
        <v>Soccer Lock 2027</v>
      </c>
      <c r="G44" s="9" t="s">
        <v>51</v>
      </c>
      <c r="H44" s="9" t="s">
        <v>52</v>
      </c>
      <c r="I44" s="10">
        <v>69.99</v>
      </c>
      <c r="J44" s="11">
        <f t="shared" si="1"/>
        <v>4969.29</v>
      </c>
      <c r="K44" s="12">
        <f>J44*Instrucciones!$J$2</f>
        <v>1490.787</v>
      </c>
      <c r="L44" s="11">
        <f t="shared" si="2"/>
        <v>3478.503</v>
      </c>
      <c r="M44" s="9" t="str">
        <f t="shared" si="3"/>
        <v>Alto Volumen</v>
      </c>
    </row>
    <row r="45" ht="15.75" customHeight="1">
      <c r="A45" s="6" t="s">
        <v>136</v>
      </c>
      <c r="B45" s="6" t="s">
        <v>137</v>
      </c>
      <c r="C45" s="6" t="s">
        <v>36</v>
      </c>
      <c r="D45" s="6" t="s">
        <v>70</v>
      </c>
      <c r="E45" s="6">
        <v>32.0</v>
      </c>
      <c r="F45" s="9" t="str">
        <f t="array" ref="F45:I45">XLOOKUP(C45,DimJuegos[ID_Juego],DimJuegos[[Titulo]:[Precio_USD]])</f>
        <v>Soccer Lock 2027</v>
      </c>
      <c r="G45" s="9" t="s">
        <v>51</v>
      </c>
      <c r="H45" s="9" t="s">
        <v>52</v>
      </c>
      <c r="I45" s="10">
        <v>69.99</v>
      </c>
      <c r="J45" s="11">
        <f t="shared" si="1"/>
        <v>2239.68</v>
      </c>
      <c r="K45" s="12">
        <f>J45*Instrucciones!$J$2</f>
        <v>671.904</v>
      </c>
      <c r="L45" s="11">
        <f t="shared" si="2"/>
        <v>1567.776</v>
      </c>
      <c r="M45" s="9" t="str">
        <f t="shared" si="3"/>
        <v>Retail</v>
      </c>
    </row>
    <row r="46" ht="15.75" customHeight="1">
      <c r="A46" s="6" t="s">
        <v>138</v>
      </c>
      <c r="B46" s="6" t="s">
        <v>139</v>
      </c>
      <c r="C46" s="6" t="s">
        <v>38</v>
      </c>
      <c r="D46" s="6" t="s">
        <v>69</v>
      </c>
      <c r="E46" s="6">
        <v>9.0</v>
      </c>
      <c r="F46" s="9" t="str">
        <f t="array" ref="F46:I46">XLOOKUP(C46,DimJuegos[ID_Juego],DimJuegos[[Titulo]:[Precio_USD]])</f>
        <v>Hero's Academia Z</v>
      </c>
      <c r="G46" s="9" t="s">
        <v>40</v>
      </c>
      <c r="H46" s="9" t="s">
        <v>41</v>
      </c>
      <c r="I46" s="10">
        <v>59.99</v>
      </c>
      <c r="J46" s="11">
        <f t="shared" si="1"/>
        <v>539.91</v>
      </c>
      <c r="K46" s="12">
        <f>J46*Instrucciones!$J$2</f>
        <v>161.973</v>
      </c>
      <c r="L46" s="11">
        <f t="shared" si="2"/>
        <v>377.937</v>
      </c>
      <c r="M46" s="9" t="str">
        <f t="shared" si="3"/>
        <v>Retail</v>
      </c>
    </row>
    <row r="47" ht="15.75" customHeight="1">
      <c r="A47" s="6" t="s">
        <v>140</v>
      </c>
      <c r="B47" s="6" t="s">
        <v>141</v>
      </c>
      <c r="C47" s="6" t="s">
        <v>61</v>
      </c>
      <c r="D47" s="6" t="s">
        <v>66</v>
      </c>
      <c r="E47" s="6">
        <v>55.0</v>
      </c>
      <c r="F47" s="9" t="str">
        <f t="array" ref="F47:I47">XLOOKUP(C47,DimJuegos[ID_Juego],DimJuegos[[Titulo]:[Precio_USD]])</f>
        <v>Chess Grandmaster</v>
      </c>
      <c r="G47" s="9" t="s">
        <v>63</v>
      </c>
      <c r="H47" s="9" t="s">
        <v>64</v>
      </c>
      <c r="I47" s="10">
        <v>9.99</v>
      </c>
      <c r="J47" s="11">
        <f t="shared" si="1"/>
        <v>549.45</v>
      </c>
      <c r="K47" s="12">
        <f>J47*Instrucciones!$J$2</f>
        <v>164.835</v>
      </c>
      <c r="L47" s="11">
        <f t="shared" si="2"/>
        <v>384.615</v>
      </c>
      <c r="M47" s="9" t="str">
        <f t="shared" si="3"/>
        <v>Alto Volumen</v>
      </c>
    </row>
    <row r="48" ht="15.75" customHeight="1">
      <c r="A48" s="6" t="s">
        <v>142</v>
      </c>
      <c r="B48" s="6" t="s">
        <v>143</v>
      </c>
      <c r="C48" s="6" t="s">
        <v>57</v>
      </c>
      <c r="D48" s="6" t="s">
        <v>70</v>
      </c>
      <c r="E48" s="6">
        <v>87.0</v>
      </c>
      <c r="F48" s="9" t="str">
        <f t="array" ref="F48:I48">XLOOKUP(C48,DimJuegos[ID_Juego],DimJuegos[[Titulo]:[Precio_USD]])</f>
        <v>Urban Street Wear</v>
      </c>
      <c r="G48" s="9" t="s">
        <v>59</v>
      </c>
      <c r="H48" s="9" t="s">
        <v>60</v>
      </c>
      <c r="I48" s="10">
        <v>19.99</v>
      </c>
      <c r="J48" s="11">
        <f t="shared" si="1"/>
        <v>1739.13</v>
      </c>
      <c r="K48" s="12">
        <f>J48*Instrucciones!$J$2</f>
        <v>521.739</v>
      </c>
      <c r="L48" s="11">
        <f t="shared" si="2"/>
        <v>1217.391</v>
      </c>
      <c r="M48" s="9" t="str">
        <f t="shared" si="3"/>
        <v>Alto Volumen</v>
      </c>
    </row>
    <row r="49" ht="15.75" customHeight="1">
      <c r="A49" s="6" t="s">
        <v>144</v>
      </c>
      <c r="B49" s="6" t="s">
        <v>145</v>
      </c>
      <c r="C49" s="6" t="s">
        <v>42</v>
      </c>
      <c r="D49" s="6" t="s">
        <v>37</v>
      </c>
      <c r="E49" s="6">
        <v>98.0</v>
      </c>
      <c r="F49" s="9" t="str">
        <f t="array" ref="F49:I49">XLOOKUP(C49,DimJuegos[ID_Juego],DimJuegos[[Titulo]:[Precio_USD]])</f>
        <v>Pirate King Quest</v>
      </c>
      <c r="G49" s="9" t="s">
        <v>44</v>
      </c>
      <c r="H49" s="9" t="s">
        <v>45</v>
      </c>
      <c r="I49" s="10">
        <v>49.99</v>
      </c>
      <c r="J49" s="11">
        <f t="shared" si="1"/>
        <v>4899.02</v>
      </c>
      <c r="K49" s="12">
        <f>J49*Instrucciones!$J$2</f>
        <v>1469.706</v>
      </c>
      <c r="L49" s="11">
        <f t="shared" si="2"/>
        <v>3429.314</v>
      </c>
      <c r="M49" s="9" t="str">
        <f t="shared" si="3"/>
        <v>Alto Volumen</v>
      </c>
    </row>
    <row r="50" ht="15.75" customHeight="1">
      <c r="A50" s="6" t="s">
        <v>146</v>
      </c>
      <c r="B50" s="6" t="s">
        <v>147</v>
      </c>
      <c r="C50" s="6" t="s">
        <v>46</v>
      </c>
      <c r="D50" s="6" t="s">
        <v>71</v>
      </c>
      <c r="E50" s="6">
        <v>46.0</v>
      </c>
      <c r="F50" s="9" t="str">
        <f t="array" ref="F50:I50">XLOOKUP(C50,DimJuegos[ID_Juego],DimJuegos[[Titulo]:[Precio_USD]])</f>
        <v>Speed Moto 250z</v>
      </c>
      <c r="G50" s="9" t="s">
        <v>48</v>
      </c>
      <c r="H50" s="9" t="s">
        <v>49</v>
      </c>
      <c r="I50" s="10">
        <v>29.99</v>
      </c>
      <c r="J50" s="11">
        <f t="shared" si="1"/>
        <v>1379.54</v>
      </c>
      <c r="K50" s="12">
        <f>J50*Instrucciones!$J$2</f>
        <v>413.862</v>
      </c>
      <c r="L50" s="11">
        <f t="shared" si="2"/>
        <v>965.678</v>
      </c>
      <c r="M50" s="9" t="str">
        <f t="shared" si="3"/>
        <v>Retail</v>
      </c>
    </row>
    <row r="51" ht="15.75" customHeight="1">
      <c r="A51" s="6" t="s">
        <v>148</v>
      </c>
      <c r="B51" s="6" t="s">
        <v>149</v>
      </c>
      <c r="C51" s="6" t="s">
        <v>36</v>
      </c>
      <c r="D51" s="6" t="s">
        <v>66</v>
      </c>
      <c r="E51" s="6">
        <v>45.0</v>
      </c>
      <c r="F51" s="9" t="str">
        <f t="array" ref="F51:I51">XLOOKUP(C51,DimJuegos[ID_Juego],DimJuegos[[Titulo]:[Precio_USD]])</f>
        <v>Soccer Lock 2027</v>
      </c>
      <c r="G51" s="9" t="s">
        <v>51</v>
      </c>
      <c r="H51" s="9" t="s">
        <v>52</v>
      </c>
      <c r="I51" s="10">
        <v>69.99</v>
      </c>
      <c r="J51" s="11">
        <f t="shared" si="1"/>
        <v>3149.55</v>
      </c>
      <c r="K51" s="12">
        <f>J51*Instrucciones!$J$2</f>
        <v>944.865</v>
      </c>
      <c r="L51" s="11">
        <f t="shared" si="2"/>
        <v>2204.685</v>
      </c>
      <c r="M51" s="9" t="str">
        <f t="shared" si="3"/>
        <v>Retail</v>
      </c>
    </row>
    <row r="52" ht="15.75" customHeight="1">
      <c r="A52" s="6" t="s">
        <v>150</v>
      </c>
      <c r="B52" s="6" t="s">
        <v>151</v>
      </c>
      <c r="C52" s="6" t="s">
        <v>24</v>
      </c>
      <c r="D52" s="6" t="s">
        <v>69</v>
      </c>
      <c r="E52" s="6">
        <v>26.0</v>
      </c>
      <c r="F52" s="9" t="str">
        <f t="array" ref="F52:I52">XLOOKUP(C52,DimJuegos[ID_Juego],DimJuegos[[Titulo]:[Precio_USD]])</f>
        <v>Eco's Adventure</v>
      </c>
      <c r="G52" s="9" t="s">
        <v>31</v>
      </c>
      <c r="H52" s="9" t="s">
        <v>32</v>
      </c>
      <c r="I52" s="10">
        <v>15.0</v>
      </c>
      <c r="J52" s="11">
        <f t="shared" si="1"/>
        <v>390</v>
      </c>
      <c r="K52" s="12">
        <f>J52*Instrucciones!$J$2</f>
        <v>117</v>
      </c>
      <c r="L52" s="11">
        <f t="shared" si="2"/>
        <v>273</v>
      </c>
      <c r="M52" s="9" t="str">
        <f t="shared" si="3"/>
        <v>Retail</v>
      </c>
    </row>
    <row r="53" ht="15.75" customHeight="1">
      <c r="A53" s="6" t="s">
        <v>152</v>
      </c>
      <c r="B53" s="6" t="s">
        <v>151</v>
      </c>
      <c r="C53" s="6" t="s">
        <v>38</v>
      </c>
      <c r="D53" s="6" t="s">
        <v>70</v>
      </c>
      <c r="E53" s="6">
        <v>36.0</v>
      </c>
      <c r="F53" s="9" t="str">
        <f t="array" ref="F53:I53">XLOOKUP(C53,DimJuegos[ID_Juego],DimJuegos[[Titulo]:[Precio_USD]])</f>
        <v>Hero's Academia Z</v>
      </c>
      <c r="G53" s="9" t="s">
        <v>40</v>
      </c>
      <c r="H53" s="9" t="s">
        <v>41</v>
      </c>
      <c r="I53" s="10">
        <v>59.99</v>
      </c>
      <c r="J53" s="11">
        <f t="shared" si="1"/>
        <v>2159.64</v>
      </c>
      <c r="K53" s="12">
        <f>J53*Instrucciones!$J$2</f>
        <v>647.892</v>
      </c>
      <c r="L53" s="11">
        <f t="shared" si="2"/>
        <v>1511.748</v>
      </c>
      <c r="M53" s="9" t="str">
        <f t="shared" si="3"/>
        <v>Retail</v>
      </c>
    </row>
    <row r="54" ht="15.75" customHeight="1">
      <c r="A54" s="6" t="s">
        <v>153</v>
      </c>
      <c r="B54" s="6" t="s">
        <v>154</v>
      </c>
      <c r="C54" s="6" t="s">
        <v>42</v>
      </c>
      <c r="D54" s="6" t="s">
        <v>70</v>
      </c>
      <c r="E54" s="6">
        <v>63.0</v>
      </c>
      <c r="F54" s="9" t="str">
        <f t="array" ref="F54:I54">XLOOKUP(C54,DimJuegos[ID_Juego],DimJuegos[[Titulo]:[Precio_USD]])</f>
        <v>Pirate King Quest</v>
      </c>
      <c r="G54" s="9" t="s">
        <v>44</v>
      </c>
      <c r="H54" s="9" t="s">
        <v>45</v>
      </c>
      <c r="I54" s="10">
        <v>49.99</v>
      </c>
      <c r="J54" s="11">
        <f t="shared" si="1"/>
        <v>3149.37</v>
      </c>
      <c r="K54" s="12">
        <f>J54*Instrucciones!$J$2</f>
        <v>944.811</v>
      </c>
      <c r="L54" s="11">
        <f t="shared" si="2"/>
        <v>2204.559</v>
      </c>
      <c r="M54" s="9" t="str">
        <f t="shared" si="3"/>
        <v>Alto Volumen</v>
      </c>
    </row>
    <row r="55" ht="15.75" customHeight="1">
      <c r="A55" s="6" t="s">
        <v>155</v>
      </c>
      <c r="B55" s="6" t="s">
        <v>154</v>
      </c>
      <c r="C55" s="6" t="s">
        <v>36</v>
      </c>
      <c r="D55" s="6" t="s">
        <v>66</v>
      </c>
      <c r="E55" s="6">
        <v>26.0</v>
      </c>
      <c r="F55" s="9" t="str">
        <f t="array" ref="F55:I55">XLOOKUP(C55,DimJuegos[ID_Juego],DimJuegos[[Titulo]:[Precio_USD]])</f>
        <v>Soccer Lock 2027</v>
      </c>
      <c r="G55" s="9" t="s">
        <v>51</v>
      </c>
      <c r="H55" s="9" t="s">
        <v>52</v>
      </c>
      <c r="I55" s="10">
        <v>69.99</v>
      </c>
      <c r="J55" s="11">
        <f t="shared" si="1"/>
        <v>1819.74</v>
      </c>
      <c r="K55" s="12">
        <f>J55*Instrucciones!$J$2</f>
        <v>545.922</v>
      </c>
      <c r="L55" s="11">
        <f t="shared" si="2"/>
        <v>1273.818</v>
      </c>
      <c r="M55" s="9" t="str">
        <f t="shared" si="3"/>
        <v>Retail</v>
      </c>
    </row>
    <row r="56" ht="15.75" customHeight="1">
      <c r="A56" s="6" t="s">
        <v>156</v>
      </c>
      <c r="B56" s="6" t="s">
        <v>157</v>
      </c>
      <c r="C56" s="6" t="s">
        <v>36</v>
      </c>
      <c r="D56" s="6" t="s">
        <v>69</v>
      </c>
      <c r="E56" s="6">
        <v>63.0</v>
      </c>
      <c r="F56" s="9" t="str">
        <f t="array" ref="F56:I56">XLOOKUP(C56,DimJuegos[ID_Juego],DimJuegos[[Titulo]:[Precio_USD]])</f>
        <v>Soccer Lock 2027</v>
      </c>
      <c r="G56" s="9" t="s">
        <v>51</v>
      </c>
      <c r="H56" s="9" t="s">
        <v>52</v>
      </c>
      <c r="I56" s="10">
        <v>69.99</v>
      </c>
      <c r="J56" s="11">
        <f t="shared" si="1"/>
        <v>4409.37</v>
      </c>
      <c r="K56" s="12">
        <f>J56*Instrucciones!$J$2</f>
        <v>1322.811</v>
      </c>
      <c r="L56" s="11">
        <f t="shared" si="2"/>
        <v>3086.559</v>
      </c>
      <c r="M56" s="9" t="str">
        <f t="shared" si="3"/>
        <v>Alto Volumen</v>
      </c>
    </row>
    <row r="57" ht="15.75" customHeight="1">
      <c r="A57" s="6" t="s">
        <v>158</v>
      </c>
      <c r="B57" s="6" t="s">
        <v>157</v>
      </c>
      <c r="C57" s="6" t="s">
        <v>38</v>
      </c>
      <c r="D57" s="6" t="s">
        <v>70</v>
      </c>
      <c r="E57" s="6">
        <v>18.0</v>
      </c>
      <c r="F57" s="9" t="str">
        <f t="array" ref="F57:I57">XLOOKUP(C57,DimJuegos[ID_Juego],DimJuegos[[Titulo]:[Precio_USD]])</f>
        <v>Hero's Academia Z</v>
      </c>
      <c r="G57" s="9" t="s">
        <v>40</v>
      </c>
      <c r="H57" s="9" t="s">
        <v>41</v>
      </c>
      <c r="I57" s="10">
        <v>59.99</v>
      </c>
      <c r="J57" s="11">
        <f t="shared" si="1"/>
        <v>1079.82</v>
      </c>
      <c r="K57" s="12">
        <f>J57*Instrucciones!$J$2</f>
        <v>323.946</v>
      </c>
      <c r="L57" s="11">
        <f t="shared" si="2"/>
        <v>755.874</v>
      </c>
      <c r="M57" s="9" t="str">
        <f t="shared" si="3"/>
        <v>Retail</v>
      </c>
    </row>
    <row r="58" ht="15.75" customHeight="1">
      <c r="A58" s="6" t="s">
        <v>159</v>
      </c>
      <c r="B58" s="6" t="s">
        <v>160</v>
      </c>
      <c r="C58" s="6" t="s">
        <v>24</v>
      </c>
      <c r="D58" s="6" t="s">
        <v>70</v>
      </c>
      <c r="E58" s="6">
        <v>1.0</v>
      </c>
      <c r="F58" s="9" t="str">
        <f t="array" ref="F58:I58">XLOOKUP(C58,DimJuegos[ID_Juego],DimJuegos[[Titulo]:[Precio_USD]])</f>
        <v>Eco's Adventure</v>
      </c>
      <c r="G58" s="9" t="s">
        <v>31</v>
      </c>
      <c r="H58" s="9" t="s">
        <v>32</v>
      </c>
      <c r="I58" s="10">
        <v>15.0</v>
      </c>
      <c r="J58" s="11">
        <f t="shared" si="1"/>
        <v>15</v>
      </c>
      <c r="K58" s="12">
        <f>J58*Instrucciones!$J$2</f>
        <v>4.5</v>
      </c>
      <c r="L58" s="11">
        <f t="shared" si="2"/>
        <v>10.5</v>
      </c>
      <c r="M58" s="9" t="str">
        <f t="shared" si="3"/>
        <v>Retail</v>
      </c>
    </row>
    <row r="59" ht="15.75" customHeight="1">
      <c r="A59" s="6" t="s">
        <v>161</v>
      </c>
      <c r="B59" s="6" t="s">
        <v>162</v>
      </c>
      <c r="C59" s="6" t="s">
        <v>42</v>
      </c>
      <c r="D59" s="6" t="s">
        <v>70</v>
      </c>
      <c r="E59" s="6">
        <v>71.0</v>
      </c>
      <c r="F59" s="9" t="str">
        <f t="array" ref="F59:I59">XLOOKUP(C59,DimJuegos[ID_Juego],DimJuegos[[Titulo]:[Precio_USD]])</f>
        <v>Pirate King Quest</v>
      </c>
      <c r="G59" s="9" t="s">
        <v>44</v>
      </c>
      <c r="H59" s="9" t="s">
        <v>45</v>
      </c>
      <c r="I59" s="10">
        <v>49.99</v>
      </c>
      <c r="J59" s="11">
        <f t="shared" si="1"/>
        <v>3549.29</v>
      </c>
      <c r="K59" s="12">
        <f>J59*Instrucciones!$J$2</f>
        <v>1064.787</v>
      </c>
      <c r="L59" s="11">
        <f t="shared" si="2"/>
        <v>2484.503</v>
      </c>
      <c r="M59" s="9" t="str">
        <f t="shared" si="3"/>
        <v>Alto Volumen</v>
      </c>
    </row>
    <row r="60" ht="15.75" customHeight="1">
      <c r="A60" s="6" t="s">
        <v>163</v>
      </c>
      <c r="B60" s="6" t="s">
        <v>162</v>
      </c>
      <c r="C60" s="6" t="s">
        <v>57</v>
      </c>
      <c r="D60" s="6" t="s">
        <v>69</v>
      </c>
      <c r="E60" s="6">
        <v>52.0</v>
      </c>
      <c r="F60" s="9" t="str">
        <f t="array" ref="F60:I60">XLOOKUP(C60,DimJuegos[ID_Juego],DimJuegos[[Titulo]:[Precio_USD]])</f>
        <v>Urban Street Wear</v>
      </c>
      <c r="G60" s="9" t="s">
        <v>59</v>
      </c>
      <c r="H60" s="9" t="s">
        <v>60</v>
      </c>
      <c r="I60" s="10">
        <v>19.99</v>
      </c>
      <c r="J60" s="11">
        <f t="shared" si="1"/>
        <v>1039.48</v>
      </c>
      <c r="K60" s="12">
        <f>J60*Instrucciones!$J$2</f>
        <v>311.844</v>
      </c>
      <c r="L60" s="11">
        <f t="shared" si="2"/>
        <v>727.636</v>
      </c>
      <c r="M60" s="9" t="str">
        <f t="shared" si="3"/>
        <v>Alto Volumen</v>
      </c>
    </row>
    <row r="61" ht="15.75" customHeight="1">
      <c r="A61" s="6" t="s">
        <v>164</v>
      </c>
      <c r="B61" s="6" t="s">
        <v>162</v>
      </c>
      <c r="C61" s="6" t="s">
        <v>42</v>
      </c>
      <c r="D61" s="6" t="s">
        <v>69</v>
      </c>
      <c r="E61" s="6">
        <v>14.0</v>
      </c>
      <c r="F61" s="9" t="str">
        <f t="array" ref="F61:I61">XLOOKUP(C61,DimJuegos[ID_Juego],DimJuegos[[Titulo]:[Precio_USD]])</f>
        <v>Pirate King Quest</v>
      </c>
      <c r="G61" s="9" t="s">
        <v>44</v>
      </c>
      <c r="H61" s="9" t="s">
        <v>45</v>
      </c>
      <c r="I61" s="10">
        <v>49.99</v>
      </c>
      <c r="J61" s="11">
        <f t="shared" si="1"/>
        <v>699.86</v>
      </c>
      <c r="K61" s="12">
        <f>J61*Instrucciones!$J$2</f>
        <v>209.958</v>
      </c>
      <c r="L61" s="11">
        <f t="shared" si="2"/>
        <v>489.902</v>
      </c>
      <c r="M61" s="9" t="str">
        <f t="shared" si="3"/>
        <v>Retail</v>
      </c>
    </row>
    <row r="62" ht="15.75" customHeight="1">
      <c r="A62" s="6" t="s">
        <v>165</v>
      </c>
      <c r="B62" s="6" t="s">
        <v>162</v>
      </c>
      <c r="C62" s="6" t="s">
        <v>61</v>
      </c>
      <c r="D62" s="6" t="s">
        <v>37</v>
      </c>
      <c r="E62" s="6">
        <v>55.0</v>
      </c>
      <c r="F62" s="9" t="str">
        <f t="array" ref="F62:I62">XLOOKUP(C62,DimJuegos[ID_Juego],DimJuegos[[Titulo]:[Precio_USD]])</f>
        <v>Chess Grandmaster</v>
      </c>
      <c r="G62" s="9" t="s">
        <v>63</v>
      </c>
      <c r="H62" s="9" t="s">
        <v>64</v>
      </c>
      <c r="I62" s="10">
        <v>9.99</v>
      </c>
      <c r="J62" s="11">
        <f t="shared" si="1"/>
        <v>549.45</v>
      </c>
      <c r="K62" s="12">
        <f>J62*Instrucciones!$J$2</f>
        <v>164.835</v>
      </c>
      <c r="L62" s="11">
        <f t="shared" si="2"/>
        <v>384.615</v>
      </c>
      <c r="M62" s="9" t="str">
        <f t="shared" si="3"/>
        <v>Alto Volumen</v>
      </c>
    </row>
    <row r="63" ht="15.75" customHeight="1">
      <c r="A63" s="6" t="s">
        <v>166</v>
      </c>
      <c r="B63" s="6" t="s">
        <v>167</v>
      </c>
      <c r="C63" s="6" t="s">
        <v>53</v>
      </c>
      <c r="D63" s="6" t="s">
        <v>71</v>
      </c>
      <c r="E63" s="6">
        <v>38.0</v>
      </c>
      <c r="F63" s="9" t="str">
        <f t="array" ref="F63:I63">XLOOKUP(C63,DimJuegos[ID_Juego],DimJuegos[[Titulo]:[Precio_USD]])</f>
        <v>Dark Swordsman</v>
      </c>
      <c r="G63" s="9" t="s">
        <v>55</v>
      </c>
      <c r="H63" s="9" t="s">
        <v>56</v>
      </c>
      <c r="I63" s="10">
        <v>39.99</v>
      </c>
      <c r="J63" s="11">
        <f t="shared" si="1"/>
        <v>1519.62</v>
      </c>
      <c r="K63" s="12">
        <f>J63*Instrucciones!$J$2</f>
        <v>455.886</v>
      </c>
      <c r="L63" s="11">
        <f t="shared" si="2"/>
        <v>1063.734</v>
      </c>
      <c r="M63" s="9" t="str">
        <f t="shared" si="3"/>
        <v>Retail</v>
      </c>
    </row>
    <row r="64" ht="15.75" customHeight="1">
      <c r="A64" s="6" t="s">
        <v>168</v>
      </c>
      <c r="B64" s="6" t="s">
        <v>169</v>
      </c>
      <c r="C64" s="6" t="s">
        <v>36</v>
      </c>
      <c r="D64" s="6" t="s">
        <v>69</v>
      </c>
      <c r="E64" s="6">
        <v>27.0</v>
      </c>
      <c r="F64" s="9" t="str">
        <f t="array" ref="F64:I64">XLOOKUP(C64,DimJuegos[ID_Juego],DimJuegos[[Titulo]:[Precio_USD]])</f>
        <v>Soccer Lock 2027</v>
      </c>
      <c r="G64" s="9" t="s">
        <v>51</v>
      </c>
      <c r="H64" s="9" t="s">
        <v>52</v>
      </c>
      <c r="I64" s="10">
        <v>69.99</v>
      </c>
      <c r="J64" s="11">
        <f t="shared" si="1"/>
        <v>1889.73</v>
      </c>
      <c r="K64" s="12">
        <f>J64*Instrucciones!$J$2</f>
        <v>566.919</v>
      </c>
      <c r="L64" s="11">
        <f t="shared" si="2"/>
        <v>1322.811</v>
      </c>
      <c r="M64" s="9" t="str">
        <f t="shared" si="3"/>
        <v>Retail</v>
      </c>
    </row>
    <row r="65" ht="15.75" customHeight="1">
      <c r="A65" s="6" t="s">
        <v>170</v>
      </c>
      <c r="B65" s="6" t="s">
        <v>171</v>
      </c>
      <c r="C65" s="6" t="s">
        <v>46</v>
      </c>
      <c r="D65" s="6" t="s">
        <v>66</v>
      </c>
      <c r="E65" s="6">
        <v>18.0</v>
      </c>
      <c r="F65" s="9" t="str">
        <f t="array" ref="F65:I65">XLOOKUP(C65,DimJuegos[ID_Juego],DimJuegos[[Titulo]:[Precio_USD]])</f>
        <v>Speed Moto 250z</v>
      </c>
      <c r="G65" s="9" t="s">
        <v>48</v>
      </c>
      <c r="H65" s="9" t="s">
        <v>49</v>
      </c>
      <c r="I65" s="10">
        <v>29.99</v>
      </c>
      <c r="J65" s="11">
        <f t="shared" si="1"/>
        <v>539.82</v>
      </c>
      <c r="K65" s="12">
        <f>J65*Instrucciones!$J$2</f>
        <v>161.946</v>
      </c>
      <c r="L65" s="11">
        <f t="shared" si="2"/>
        <v>377.874</v>
      </c>
      <c r="M65" s="9" t="str">
        <f t="shared" si="3"/>
        <v>Retail</v>
      </c>
    </row>
    <row r="66" ht="15.75" customHeight="1">
      <c r="A66" s="6" t="s">
        <v>172</v>
      </c>
      <c r="B66" s="6" t="s">
        <v>173</v>
      </c>
      <c r="C66" s="6" t="s">
        <v>38</v>
      </c>
      <c r="D66" s="6" t="s">
        <v>37</v>
      </c>
      <c r="E66" s="6">
        <v>45.0</v>
      </c>
      <c r="F66" s="9" t="str">
        <f t="array" ref="F66:I66">XLOOKUP(C66,DimJuegos[ID_Juego],DimJuegos[[Titulo]:[Precio_USD]])</f>
        <v>Hero's Academia Z</v>
      </c>
      <c r="G66" s="9" t="s">
        <v>40</v>
      </c>
      <c r="H66" s="9" t="s">
        <v>41</v>
      </c>
      <c r="I66" s="10">
        <v>59.99</v>
      </c>
      <c r="J66" s="11">
        <f t="shared" si="1"/>
        <v>2699.55</v>
      </c>
      <c r="K66" s="12">
        <f>J66*Instrucciones!$J$2</f>
        <v>809.865</v>
      </c>
      <c r="L66" s="11">
        <f t="shared" si="2"/>
        <v>1889.685</v>
      </c>
      <c r="M66" s="9" t="str">
        <f t="shared" si="3"/>
        <v>Retail</v>
      </c>
    </row>
    <row r="67" ht="15.75" customHeight="1">
      <c r="A67" s="6" t="s">
        <v>174</v>
      </c>
      <c r="B67" s="6" t="s">
        <v>175</v>
      </c>
      <c r="C67" s="6" t="s">
        <v>46</v>
      </c>
      <c r="D67" s="6" t="s">
        <v>71</v>
      </c>
      <c r="E67" s="6">
        <v>75.0</v>
      </c>
      <c r="F67" s="9" t="str">
        <f t="array" ref="F67:I67">XLOOKUP(C67,DimJuegos[ID_Juego],DimJuegos[[Titulo]:[Precio_USD]])</f>
        <v>Speed Moto 250z</v>
      </c>
      <c r="G67" s="9" t="s">
        <v>48</v>
      </c>
      <c r="H67" s="9" t="s">
        <v>49</v>
      </c>
      <c r="I67" s="10">
        <v>29.99</v>
      </c>
      <c r="J67" s="11">
        <f t="shared" si="1"/>
        <v>2249.25</v>
      </c>
      <c r="K67" s="12">
        <f>J67*Instrucciones!$J$2</f>
        <v>674.775</v>
      </c>
      <c r="L67" s="11">
        <f t="shared" si="2"/>
        <v>1574.475</v>
      </c>
      <c r="M67" s="9" t="str">
        <f t="shared" si="3"/>
        <v>Alto Volumen</v>
      </c>
    </row>
    <row r="68" ht="15.75" customHeight="1">
      <c r="A68" s="6" t="s">
        <v>176</v>
      </c>
      <c r="B68" s="6" t="s">
        <v>177</v>
      </c>
      <c r="C68" s="6" t="s">
        <v>24</v>
      </c>
      <c r="D68" s="6" t="s">
        <v>69</v>
      </c>
      <c r="E68" s="6">
        <v>39.0</v>
      </c>
      <c r="F68" s="9" t="str">
        <f t="array" ref="F68:I68">XLOOKUP(C68,DimJuegos[ID_Juego],DimJuegos[[Titulo]:[Precio_USD]])</f>
        <v>Eco's Adventure</v>
      </c>
      <c r="G68" s="9" t="s">
        <v>31</v>
      </c>
      <c r="H68" s="9" t="s">
        <v>32</v>
      </c>
      <c r="I68" s="10">
        <v>15.0</v>
      </c>
      <c r="J68" s="11">
        <f t="shared" si="1"/>
        <v>585</v>
      </c>
      <c r="K68" s="12">
        <f>J68*Instrucciones!$J$2</f>
        <v>175.5</v>
      </c>
      <c r="L68" s="11">
        <f t="shared" si="2"/>
        <v>409.5</v>
      </c>
      <c r="M68" s="9" t="str">
        <f t="shared" si="3"/>
        <v>Retail</v>
      </c>
    </row>
    <row r="69" ht="15.75" customHeight="1">
      <c r="A69" s="6" t="s">
        <v>178</v>
      </c>
      <c r="B69" s="6" t="s">
        <v>179</v>
      </c>
      <c r="C69" s="6" t="s">
        <v>46</v>
      </c>
      <c r="D69" s="6" t="s">
        <v>71</v>
      </c>
      <c r="E69" s="6">
        <v>31.0</v>
      </c>
      <c r="F69" s="9" t="str">
        <f t="array" ref="F69:I69">XLOOKUP(C69,DimJuegos[ID_Juego],DimJuegos[[Titulo]:[Precio_USD]])</f>
        <v>Speed Moto 250z</v>
      </c>
      <c r="G69" s="9" t="s">
        <v>48</v>
      </c>
      <c r="H69" s="9" t="s">
        <v>49</v>
      </c>
      <c r="I69" s="10">
        <v>29.99</v>
      </c>
      <c r="J69" s="11">
        <f t="shared" si="1"/>
        <v>929.69</v>
      </c>
      <c r="K69" s="12">
        <f>J69*Instrucciones!$J$2</f>
        <v>278.907</v>
      </c>
      <c r="L69" s="11">
        <f t="shared" si="2"/>
        <v>650.783</v>
      </c>
      <c r="M69" s="9" t="str">
        <f t="shared" si="3"/>
        <v>Retail</v>
      </c>
    </row>
    <row r="70" ht="15.75" customHeight="1">
      <c r="A70" s="6" t="s">
        <v>180</v>
      </c>
      <c r="B70" s="6" t="s">
        <v>179</v>
      </c>
      <c r="C70" s="6" t="s">
        <v>53</v>
      </c>
      <c r="D70" s="6" t="s">
        <v>71</v>
      </c>
      <c r="E70" s="6">
        <v>46.0</v>
      </c>
      <c r="F70" s="9" t="str">
        <f t="array" ref="F70:I70">XLOOKUP(C70,DimJuegos[ID_Juego],DimJuegos[[Titulo]:[Precio_USD]])</f>
        <v>Dark Swordsman</v>
      </c>
      <c r="G70" s="9" t="s">
        <v>55</v>
      </c>
      <c r="H70" s="9" t="s">
        <v>56</v>
      </c>
      <c r="I70" s="10">
        <v>39.99</v>
      </c>
      <c r="J70" s="11">
        <f t="shared" si="1"/>
        <v>1839.54</v>
      </c>
      <c r="K70" s="12">
        <f>J70*Instrucciones!$J$2</f>
        <v>551.862</v>
      </c>
      <c r="L70" s="11">
        <f t="shared" si="2"/>
        <v>1287.678</v>
      </c>
      <c r="M70" s="9" t="str">
        <f t="shared" si="3"/>
        <v>Retail</v>
      </c>
    </row>
    <row r="71" ht="15.75" customHeight="1">
      <c r="A71" s="6" t="s">
        <v>181</v>
      </c>
      <c r="B71" s="6" t="s">
        <v>182</v>
      </c>
      <c r="C71" s="6" t="s">
        <v>57</v>
      </c>
      <c r="D71" s="6" t="s">
        <v>37</v>
      </c>
      <c r="E71" s="6">
        <v>52.0</v>
      </c>
      <c r="F71" s="9" t="str">
        <f t="array" ref="F71:I71">XLOOKUP(C71,DimJuegos[ID_Juego],DimJuegos[[Titulo]:[Precio_USD]])</f>
        <v>Urban Street Wear</v>
      </c>
      <c r="G71" s="9" t="s">
        <v>59</v>
      </c>
      <c r="H71" s="9" t="s">
        <v>60</v>
      </c>
      <c r="I71" s="10">
        <v>19.99</v>
      </c>
      <c r="J71" s="11">
        <f t="shared" si="1"/>
        <v>1039.48</v>
      </c>
      <c r="K71" s="12">
        <f>J71*Instrucciones!$J$2</f>
        <v>311.844</v>
      </c>
      <c r="L71" s="11">
        <f t="shared" si="2"/>
        <v>727.636</v>
      </c>
      <c r="M71" s="9" t="str">
        <f t="shared" si="3"/>
        <v>Alto Volumen</v>
      </c>
    </row>
    <row r="72" ht="15.75" customHeight="1">
      <c r="A72" s="6" t="s">
        <v>183</v>
      </c>
      <c r="B72" s="6" t="s">
        <v>184</v>
      </c>
      <c r="C72" s="6" t="s">
        <v>38</v>
      </c>
      <c r="D72" s="6" t="s">
        <v>71</v>
      </c>
      <c r="E72" s="6">
        <v>59.0</v>
      </c>
      <c r="F72" s="9" t="str">
        <f t="array" ref="F72:I72">XLOOKUP(C72,DimJuegos[ID_Juego],DimJuegos[[Titulo]:[Precio_USD]])</f>
        <v>Hero's Academia Z</v>
      </c>
      <c r="G72" s="9" t="s">
        <v>40</v>
      </c>
      <c r="H72" s="9" t="s">
        <v>41</v>
      </c>
      <c r="I72" s="10">
        <v>59.99</v>
      </c>
      <c r="J72" s="11">
        <f t="shared" si="1"/>
        <v>3539.41</v>
      </c>
      <c r="K72" s="12">
        <f>J72*Instrucciones!$J$2</f>
        <v>1061.823</v>
      </c>
      <c r="L72" s="11">
        <f t="shared" si="2"/>
        <v>2477.587</v>
      </c>
      <c r="M72" s="9" t="str">
        <f t="shared" si="3"/>
        <v>Alto Volumen</v>
      </c>
    </row>
    <row r="73" ht="15.75" customHeight="1">
      <c r="A73" s="6" t="s">
        <v>185</v>
      </c>
      <c r="B73" s="6" t="s">
        <v>184</v>
      </c>
      <c r="C73" s="6" t="s">
        <v>46</v>
      </c>
      <c r="D73" s="6" t="s">
        <v>70</v>
      </c>
      <c r="E73" s="6">
        <v>51.0</v>
      </c>
      <c r="F73" s="9" t="str">
        <f t="array" ref="F73:I73">XLOOKUP(C73,DimJuegos[ID_Juego],DimJuegos[[Titulo]:[Precio_USD]])</f>
        <v>Speed Moto 250z</v>
      </c>
      <c r="G73" s="9" t="s">
        <v>48</v>
      </c>
      <c r="H73" s="9" t="s">
        <v>49</v>
      </c>
      <c r="I73" s="10">
        <v>29.99</v>
      </c>
      <c r="J73" s="11">
        <f t="shared" si="1"/>
        <v>1529.49</v>
      </c>
      <c r="K73" s="12">
        <f>J73*Instrucciones!$J$2</f>
        <v>458.847</v>
      </c>
      <c r="L73" s="11">
        <f t="shared" si="2"/>
        <v>1070.643</v>
      </c>
      <c r="M73" s="9" t="str">
        <f t="shared" si="3"/>
        <v>Alto Volumen</v>
      </c>
    </row>
    <row r="74" ht="15.75" customHeight="1">
      <c r="A74" s="6" t="s">
        <v>186</v>
      </c>
      <c r="B74" s="6" t="s">
        <v>184</v>
      </c>
      <c r="C74" s="6" t="s">
        <v>57</v>
      </c>
      <c r="D74" s="6" t="s">
        <v>69</v>
      </c>
      <c r="E74" s="6">
        <v>66.0</v>
      </c>
      <c r="F74" s="9" t="str">
        <f t="array" ref="F74:I74">XLOOKUP(C74,DimJuegos[ID_Juego],DimJuegos[[Titulo]:[Precio_USD]])</f>
        <v>Urban Street Wear</v>
      </c>
      <c r="G74" s="9" t="s">
        <v>59</v>
      </c>
      <c r="H74" s="9" t="s">
        <v>60</v>
      </c>
      <c r="I74" s="10">
        <v>19.99</v>
      </c>
      <c r="J74" s="11">
        <f t="shared" si="1"/>
        <v>1319.34</v>
      </c>
      <c r="K74" s="12">
        <f>J74*Instrucciones!$J$2</f>
        <v>395.802</v>
      </c>
      <c r="L74" s="11">
        <f t="shared" si="2"/>
        <v>923.538</v>
      </c>
      <c r="M74" s="9" t="str">
        <f t="shared" si="3"/>
        <v>Alto Volumen</v>
      </c>
    </row>
    <row r="75" ht="15.75" customHeight="1">
      <c r="A75" s="6" t="s">
        <v>187</v>
      </c>
      <c r="B75" s="6" t="s">
        <v>188</v>
      </c>
      <c r="C75" s="6" t="s">
        <v>57</v>
      </c>
      <c r="D75" s="6" t="s">
        <v>66</v>
      </c>
      <c r="E75" s="6">
        <v>35.0</v>
      </c>
      <c r="F75" s="9" t="str">
        <f t="array" ref="F75:I75">XLOOKUP(C75,DimJuegos[ID_Juego],DimJuegos[[Titulo]:[Precio_USD]])</f>
        <v>Urban Street Wear</v>
      </c>
      <c r="G75" s="9" t="s">
        <v>59</v>
      </c>
      <c r="H75" s="9" t="s">
        <v>60</v>
      </c>
      <c r="I75" s="10">
        <v>19.99</v>
      </c>
      <c r="J75" s="11">
        <f t="shared" si="1"/>
        <v>699.65</v>
      </c>
      <c r="K75" s="12">
        <f>J75*Instrucciones!$J$2</f>
        <v>209.895</v>
      </c>
      <c r="L75" s="11">
        <f t="shared" si="2"/>
        <v>489.755</v>
      </c>
      <c r="M75" s="9" t="str">
        <f t="shared" si="3"/>
        <v>Retail</v>
      </c>
    </row>
    <row r="76" ht="15.75" customHeight="1">
      <c r="A76" s="6" t="s">
        <v>189</v>
      </c>
      <c r="B76" s="6" t="s">
        <v>188</v>
      </c>
      <c r="C76" s="6" t="s">
        <v>53</v>
      </c>
      <c r="D76" s="6" t="s">
        <v>69</v>
      </c>
      <c r="E76" s="6">
        <v>11.0</v>
      </c>
      <c r="F76" s="9" t="str">
        <f t="array" ref="F76:I76">XLOOKUP(C76,DimJuegos[ID_Juego],DimJuegos[[Titulo]:[Precio_USD]])</f>
        <v>Dark Swordsman</v>
      </c>
      <c r="G76" s="9" t="s">
        <v>55</v>
      </c>
      <c r="H76" s="9" t="s">
        <v>56</v>
      </c>
      <c r="I76" s="10">
        <v>39.99</v>
      </c>
      <c r="J76" s="11">
        <f t="shared" si="1"/>
        <v>439.89</v>
      </c>
      <c r="K76" s="12">
        <f>J76*Instrucciones!$J$2</f>
        <v>131.967</v>
      </c>
      <c r="L76" s="11">
        <f t="shared" si="2"/>
        <v>307.923</v>
      </c>
      <c r="M76" s="9" t="str">
        <f t="shared" si="3"/>
        <v>Retail</v>
      </c>
    </row>
    <row r="77" ht="15.75" customHeight="1">
      <c r="A77" s="6" t="s">
        <v>190</v>
      </c>
      <c r="B77" s="6" t="s">
        <v>191</v>
      </c>
      <c r="C77" s="6" t="s">
        <v>38</v>
      </c>
      <c r="D77" s="6" t="s">
        <v>66</v>
      </c>
      <c r="E77" s="6">
        <v>25.0</v>
      </c>
      <c r="F77" s="9" t="str">
        <f t="array" ref="F77:I77">XLOOKUP(C77,DimJuegos[ID_Juego],DimJuegos[[Titulo]:[Precio_USD]])</f>
        <v>Hero's Academia Z</v>
      </c>
      <c r="G77" s="9" t="s">
        <v>40</v>
      </c>
      <c r="H77" s="9" t="s">
        <v>41</v>
      </c>
      <c r="I77" s="10">
        <v>59.99</v>
      </c>
      <c r="J77" s="11">
        <f t="shared" si="1"/>
        <v>1499.75</v>
      </c>
      <c r="K77" s="12">
        <f>J77*Instrucciones!$J$2</f>
        <v>449.925</v>
      </c>
      <c r="L77" s="11">
        <f t="shared" si="2"/>
        <v>1049.825</v>
      </c>
      <c r="M77" s="9" t="str">
        <f t="shared" si="3"/>
        <v>Retail</v>
      </c>
    </row>
    <row r="78" ht="15.75" customHeight="1">
      <c r="A78" s="6" t="s">
        <v>192</v>
      </c>
      <c r="B78" s="6" t="s">
        <v>193</v>
      </c>
      <c r="C78" s="6" t="s">
        <v>46</v>
      </c>
      <c r="D78" s="6" t="s">
        <v>37</v>
      </c>
      <c r="E78" s="6">
        <v>65.0</v>
      </c>
      <c r="F78" s="9" t="str">
        <f t="array" ref="F78:I78">XLOOKUP(C78,DimJuegos[ID_Juego],DimJuegos[[Titulo]:[Precio_USD]])</f>
        <v>Speed Moto 250z</v>
      </c>
      <c r="G78" s="9" t="s">
        <v>48</v>
      </c>
      <c r="H78" s="9" t="s">
        <v>49</v>
      </c>
      <c r="I78" s="10">
        <v>29.99</v>
      </c>
      <c r="J78" s="11">
        <f t="shared" si="1"/>
        <v>1949.35</v>
      </c>
      <c r="K78" s="12">
        <f>J78*Instrucciones!$J$2</f>
        <v>584.805</v>
      </c>
      <c r="L78" s="11">
        <f t="shared" si="2"/>
        <v>1364.545</v>
      </c>
      <c r="M78" s="9" t="str">
        <f t="shared" si="3"/>
        <v>Alto Volumen</v>
      </c>
    </row>
    <row r="79" ht="15.75" customHeight="1">
      <c r="A79" s="6" t="s">
        <v>194</v>
      </c>
      <c r="B79" s="6" t="s">
        <v>195</v>
      </c>
      <c r="C79" s="6" t="s">
        <v>36</v>
      </c>
      <c r="D79" s="6" t="s">
        <v>71</v>
      </c>
      <c r="E79" s="6">
        <v>94.0</v>
      </c>
      <c r="F79" s="9" t="str">
        <f t="array" ref="F79:I79">XLOOKUP(C79,DimJuegos[ID_Juego],DimJuegos[[Titulo]:[Precio_USD]])</f>
        <v>Soccer Lock 2027</v>
      </c>
      <c r="G79" s="9" t="s">
        <v>51</v>
      </c>
      <c r="H79" s="9" t="s">
        <v>52</v>
      </c>
      <c r="I79" s="10">
        <v>69.99</v>
      </c>
      <c r="J79" s="11">
        <f t="shared" si="1"/>
        <v>6579.06</v>
      </c>
      <c r="K79" s="12">
        <f>J79*Instrucciones!$J$2</f>
        <v>1973.718</v>
      </c>
      <c r="L79" s="11">
        <f t="shared" si="2"/>
        <v>4605.342</v>
      </c>
      <c r="M79" s="9" t="str">
        <f t="shared" si="3"/>
        <v>Alto Volumen</v>
      </c>
    </row>
    <row r="80" ht="15.75" customHeight="1">
      <c r="A80" s="6" t="s">
        <v>196</v>
      </c>
      <c r="B80" s="6" t="s">
        <v>197</v>
      </c>
      <c r="C80" s="6" t="s">
        <v>36</v>
      </c>
      <c r="D80" s="6" t="s">
        <v>66</v>
      </c>
      <c r="E80" s="6">
        <v>29.0</v>
      </c>
      <c r="F80" s="9" t="str">
        <f t="array" ref="F80:I80">XLOOKUP(C80,DimJuegos[ID_Juego],DimJuegos[[Titulo]:[Precio_USD]])</f>
        <v>Soccer Lock 2027</v>
      </c>
      <c r="G80" s="9" t="s">
        <v>51</v>
      </c>
      <c r="H80" s="9" t="s">
        <v>52</v>
      </c>
      <c r="I80" s="10">
        <v>69.99</v>
      </c>
      <c r="J80" s="11">
        <f t="shared" si="1"/>
        <v>2029.71</v>
      </c>
      <c r="K80" s="12">
        <f>J80*Instrucciones!$J$2</f>
        <v>608.913</v>
      </c>
      <c r="L80" s="11">
        <f t="shared" si="2"/>
        <v>1420.797</v>
      </c>
      <c r="M80" s="9" t="str">
        <f t="shared" si="3"/>
        <v>Retail</v>
      </c>
    </row>
    <row r="81" ht="15.75" customHeight="1">
      <c r="A81" s="6" t="s">
        <v>198</v>
      </c>
      <c r="B81" s="6" t="s">
        <v>199</v>
      </c>
      <c r="C81" s="6" t="s">
        <v>46</v>
      </c>
      <c r="D81" s="6" t="s">
        <v>37</v>
      </c>
      <c r="E81" s="6">
        <v>90.0</v>
      </c>
      <c r="F81" s="9" t="str">
        <f t="array" ref="F81:I81">XLOOKUP(C81,DimJuegos[ID_Juego],DimJuegos[[Titulo]:[Precio_USD]])</f>
        <v>Speed Moto 250z</v>
      </c>
      <c r="G81" s="9" t="s">
        <v>48</v>
      </c>
      <c r="H81" s="9" t="s">
        <v>49</v>
      </c>
      <c r="I81" s="10">
        <v>29.99</v>
      </c>
      <c r="J81" s="11">
        <f t="shared" si="1"/>
        <v>2699.1</v>
      </c>
      <c r="K81" s="12">
        <f>J81*Instrucciones!$J$2</f>
        <v>809.73</v>
      </c>
      <c r="L81" s="11">
        <f t="shared" si="2"/>
        <v>1889.37</v>
      </c>
      <c r="M81" s="9" t="str">
        <f t="shared" si="3"/>
        <v>Alto Volumen</v>
      </c>
    </row>
    <row r="82" ht="15.75" customHeight="1">
      <c r="A82" s="6" t="s">
        <v>200</v>
      </c>
      <c r="B82" s="6" t="s">
        <v>201</v>
      </c>
      <c r="C82" s="6" t="s">
        <v>46</v>
      </c>
      <c r="D82" s="6" t="s">
        <v>66</v>
      </c>
      <c r="E82" s="6">
        <v>66.0</v>
      </c>
      <c r="F82" s="9" t="str">
        <f t="array" ref="F82:I82">XLOOKUP(C82,DimJuegos[ID_Juego],DimJuegos[[Titulo]:[Precio_USD]])</f>
        <v>Speed Moto 250z</v>
      </c>
      <c r="G82" s="9" t="s">
        <v>48</v>
      </c>
      <c r="H82" s="9" t="s">
        <v>49</v>
      </c>
      <c r="I82" s="10">
        <v>29.99</v>
      </c>
      <c r="J82" s="11">
        <f t="shared" si="1"/>
        <v>1979.34</v>
      </c>
      <c r="K82" s="12">
        <f>J82*Instrucciones!$J$2</f>
        <v>593.802</v>
      </c>
      <c r="L82" s="11">
        <f t="shared" si="2"/>
        <v>1385.538</v>
      </c>
      <c r="M82" s="9" t="str">
        <f t="shared" si="3"/>
        <v>Alto Volumen</v>
      </c>
    </row>
    <row r="83" ht="15.75" customHeight="1">
      <c r="A83" s="6" t="s">
        <v>202</v>
      </c>
      <c r="B83" s="6" t="s">
        <v>203</v>
      </c>
      <c r="C83" s="6" t="s">
        <v>36</v>
      </c>
      <c r="D83" s="6" t="s">
        <v>69</v>
      </c>
      <c r="E83" s="6">
        <v>29.0</v>
      </c>
      <c r="F83" s="9" t="str">
        <f t="array" ref="F83:I83">XLOOKUP(C83,DimJuegos[ID_Juego],DimJuegos[[Titulo]:[Precio_USD]])</f>
        <v>Soccer Lock 2027</v>
      </c>
      <c r="G83" s="9" t="s">
        <v>51</v>
      </c>
      <c r="H83" s="9" t="s">
        <v>52</v>
      </c>
      <c r="I83" s="10">
        <v>69.99</v>
      </c>
      <c r="J83" s="11">
        <f t="shared" si="1"/>
        <v>2029.71</v>
      </c>
      <c r="K83" s="12">
        <f>J83*Instrucciones!$J$2</f>
        <v>608.913</v>
      </c>
      <c r="L83" s="11">
        <f t="shared" si="2"/>
        <v>1420.797</v>
      </c>
      <c r="M83" s="9" t="str">
        <f t="shared" si="3"/>
        <v>Retail</v>
      </c>
    </row>
    <row r="84" ht="15.75" customHeight="1">
      <c r="A84" s="6" t="s">
        <v>204</v>
      </c>
      <c r="B84" s="6" t="s">
        <v>205</v>
      </c>
      <c r="C84" s="6" t="s">
        <v>42</v>
      </c>
      <c r="D84" s="6" t="s">
        <v>37</v>
      </c>
      <c r="E84" s="6">
        <v>59.0</v>
      </c>
      <c r="F84" s="9" t="str">
        <f t="array" ref="F84:I84">XLOOKUP(C84,DimJuegos[ID_Juego],DimJuegos[[Titulo]:[Precio_USD]])</f>
        <v>Pirate King Quest</v>
      </c>
      <c r="G84" s="9" t="s">
        <v>44</v>
      </c>
      <c r="H84" s="9" t="s">
        <v>45</v>
      </c>
      <c r="I84" s="10">
        <v>49.99</v>
      </c>
      <c r="J84" s="11">
        <f t="shared" si="1"/>
        <v>2949.41</v>
      </c>
      <c r="K84" s="12">
        <f>J84*Instrucciones!$J$2</f>
        <v>884.823</v>
      </c>
      <c r="L84" s="11">
        <f t="shared" si="2"/>
        <v>2064.587</v>
      </c>
      <c r="M84" s="9" t="str">
        <f t="shared" si="3"/>
        <v>Alto Volumen</v>
      </c>
    </row>
    <row r="85" ht="15.75" customHeight="1">
      <c r="A85" s="6" t="s">
        <v>206</v>
      </c>
      <c r="B85" s="6" t="s">
        <v>207</v>
      </c>
      <c r="C85" s="6" t="s">
        <v>46</v>
      </c>
      <c r="D85" s="6" t="s">
        <v>66</v>
      </c>
      <c r="E85" s="6">
        <v>84.0</v>
      </c>
      <c r="F85" s="9" t="str">
        <f t="array" ref="F85:I85">XLOOKUP(C85,DimJuegos[ID_Juego],DimJuegos[[Titulo]:[Precio_USD]])</f>
        <v>Speed Moto 250z</v>
      </c>
      <c r="G85" s="9" t="s">
        <v>48</v>
      </c>
      <c r="H85" s="9" t="s">
        <v>49</v>
      </c>
      <c r="I85" s="10">
        <v>29.99</v>
      </c>
      <c r="J85" s="11">
        <f t="shared" si="1"/>
        <v>2519.16</v>
      </c>
      <c r="K85" s="12">
        <f>J85*Instrucciones!$J$2</f>
        <v>755.748</v>
      </c>
      <c r="L85" s="11">
        <f t="shared" si="2"/>
        <v>1763.412</v>
      </c>
      <c r="M85" s="9" t="str">
        <f t="shared" si="3"/>
        <v>Alto Volumen</v>
      </c>
    </row>
    <row r="86" ht="15.75" customHeight="1">
      <c r="A86" s="6" t="s">
        <v>208</v>
      </c>
      <c r="B86" s="6" t="s">
        <v>209</v>
      </c>
      <c r="C86" s="6" t="s">
        <v>46</v>
      </c>
      <c r="D86" s="6" t="s">
        <v>71</v>
      </c>
      <c r="E86" s="6">
        <v>13.0</v>
      </c>
      <c r="F86" s="9" t="str">
        <f t="array" ref="F86:I86">XLOOKUP(C86,DimJuegos[ID_Juego],DimJuegos[[Titulo]:[Precio_USD]])</f>
        <v>Speed Moto 250z</v>
      </c>
      <c r="G86" s="9" t="s">
        <v>48</v>
      </c>
      <c r="H86" s="9" t="s">
        <v>49</v>
      </c>
      <c r="I86" s="10">
        <v>29.99</v>
      </c>
      <c r="J86" s="11">
        <f t="shared" si="1"/>
        <v>389.87</v>
      </c>
      <c r="K86" s="12">
        <f>J86*Instrucciones!$J$2</f>
        <v>116.961</v>
      </c>
      <c r="L86" s="11">
        <f t="shared" si="2"/>
        <v>272.909</v>
      </c>
      <c r="M86" s="9" t="str">
        <f t="shared" si="3"/>
        <v>Retail</v>
      </c>
    </row>
    <row r="87" ht="15.75" customHeight="1">
      <c r="A87" s="6" t="s">
        <v>210</v>
      </c>
      <c r="B87" s="6" t="s">
        <v>211</v>
      </c>
      <c r="C87" s="6" t="s">
        <v>61</v>
      </c>
      <c r="D87" s="6" t="s">
        <v>71</v>
      </c>
      <c r="E87" s="6">
        <v>87.0</v>
      </c>
      <c r="F87" s="9" t="str">
        <f t="array" ref="F87:I87">XLOOKUP(C87,DimJuegos[ID_Juego],DimJuegos[[Titulo]:[Precio_USD]])</f>
        <v>Chess Grandmaster</v>
      </c>
      <c r="G87" s="9" t="s">
        <v>63</v>
      </c>
      <c r="H87" s="9" t="s">
        <v>64</v>
      </c>
      <c r="I87" s="10">
        <v>9.99</v>
      </c>
      <c r="J87" s="11">
        <f t="shared" si="1"/>
        <v>869.13</v>
      </c>
      <c r="K87" s="12">
        <f>J87*Instrucciones!$J$2</f>
        <v>260.739</v>
      </c>
      <c r="L87" s="11">
        <f t="shared" si="2"/>
        <v>608.391</v>
      </c>
      <c r="M87" s="9" t="str">
        <f t="shared" si="3"/>
        <v>Alto Volumen</v>
      </c>
    </row>
    <row r="88" ht="15.75" customHeight="1">
      <c r="A88" s="6" t="s">
        <v>212</v>
      </c>
      <c r="B88" s="6" t="s">
        <v>211</v>
      </c>
      <c r="C88" s="6" t="s">
        <v>24</v>
      </c>
      <c r="D88" s="6" t="s">
        <v>66</v>
      </c>
      <c r="E88" s="6">
        <v>95.0</v>
      </c>
      <c r="F88" s="9" t="str">
        <f t="array" ref="F88:I88">XLOOKUP(C88,DimJuegos[ID_Juego],DimJuegos[[Titulo]:[Precio_USD]])</f>
        <v>Eco's Adventure</v>
      </c>
      <c r="G88" s="9" t="s">
        <v>31</v>
      </c>
      <c r="H88" s="9" t="s">
        <v>32</v>
      </c>
      <c r="I88" s="10">
        <v>15.0</v>
      </c>
      <c r="J88" s="11">
        <f t="shared" si="1"/>
        <v>1425</v>
      </c>
      <c r="K88" s="12">
        <f>J88*Instrucciones!$J$2</f>
        <v>427.5</v>
      </c>
      <c r="L88" s="11">
        <f t="shared" si="2"/>
        <v>997.5</v>
      </c>
      <c r="M88" s="9" t="str">
        <f t="shared" si="3"/>
        <v>Alto Volumen</v>
      </c>
    </row>
    <row r="89" ht="15.75" customHeight="1">
      <c r="A89" s="6" t="s">
        <v>213</v>
      </c>
      <c r="B89" s="6" t="s">
        <v>214</v>
      </c>
      <c r="C89" s="6" t="s">
        <v>57</v>
      </c>
      <c r="D89" s="6" t="s">
        <v>37</v>
      </c>
      <c r="E89" s="6">
        <v>70.0</v>
      </c>
      <c r="F89" s="9" t="str">
        <f t="array" ref="F89:I89">XLOOKUP(C89,DimJuegos[ID_Juego],DimJuegos[[Titulo]:[Precio_USD]])</f>
        <v>Urban Street Wear</v>
      </c>
      <c r="G89" s="9" t="s">
        <v>59</v>
      </c>
      <c r="H89" s="9" t="s">
        <v>60</v>
      </c>
      <c r="I89" s="10">
        <v>19.99</v>
      </c>
      <c r="J89" s="11">
        <f t="shared" si="1"/>
        <v>1399.3</v>
      </c>
      <c r="K89" s="12">
        <f>J89*Instrucciones!$J$2</f>
        <v>419.79</v>
      </c>
      <c r="L89" s="11">
        <f t="shared" si="2"/>
        <v>979.51</v>
      </c>
      <c r="M89" s="9" t="str">
        <f t="shared" si="3"/>
        <v>Alto Volumen</v>
      </c>
    </row>
    <row r="90" ht="15.75" customHeight="1">
      <c r="A90" s="6" t="s">
        <v>215</v>
      </c>
      <c r="B90" s="6" t="s">
        <v>216</v>
      </c>
      <c r="C90" s="6" t="s">
        <v>46</v>
      </c>
      <c r="D90" s="6" t="s">
        <v>66</v>
      </c>
      <c r="E90" s="6">
        <v>90.0</v>
      </c>
      <c r="F90" s="9" t="str">
        <f t="array" ref="F90:I90">XLOOKUP(C90,DimJuegos[ID_Juego],DimJuegos[[Titulo]:[Precio_USD]])</f>
        <v>Speed Moto 250z</v>
      </c>
      <c r="G90" s="9" t="s">
        <v>48</v>
      </c>
      <c r="H90" s="9" t="s">
        <v>49</v>
      </c>
      <c r="I90" s="10">
        <v>29.99</v>
      </c>
      <c r="J90" s="11">
        <f t="shared" si="1"/>
        <v>2699.1</v>
      </c>
      <c r="K90" s="12">
        <f>J90*Instrucciones!$J$2</f>
        <v>809.73</v>
      </c>
      <c r="L90" s="11">
        <f t="shared" si="2"/>
        <v>1889.37</v>
      </c>
      <c r="M90" s="9" t="str">
        <f t="shared" si="3"/>
        <v>Alto Volumen</v>
      </c>
    </row>
    <row r="91" ht="15.75" customHeight="1">
      <c r="A91" s="6" t="s">
        <v>217</v>
      </c>
      <c r="B91" s="6" t="s">
        <v>216</v>
      </c>
      <c r="C91" s="6" t="s">
        <v>46</v>
      </c>
      <c r="D91" s="6" t="s">
        <v>69</v>
      </c>
      <c r="E91" s="6">
        <v>97.0</v>
      </c>
      <c r="F91" s="9" t="str">
        <f t="array" ref="F91:I91">XLOOKUP(C91,DimJuegos[ID_Juego],DimJuegos[[Titulo]:[Precio_USD]])</f>
        <v>Speed Moto 250z</v>
      </c>
      <c r="G91" s="9" t="s">
        <v>48</v>
      </c>
      <c r="H91" s="9" t="s">
        <v>49</v>
      </c>
      <c r="I91" s="10">
        <v>29.99</v>
      </c>
      <c r="J91" s="11">
        <f t="shared" si="1"/>
        <v>2909.03</v>
      </c>
      <c r="K91" s="12">
        <f>J91*Instrucciones!$J$2</f>
        <v>872.709</v>
      </c>
      <c r="L91" s="11">
        <f t="shared" si="2"/>
        <v>2036.321</v>
      </c>
      <c r="M91" s="9" t="str">
        <f t="shared" si="3"/>
        <v>Alto Volumen</v>
      </c>
    </row>
    <row r="92" ht="15.75" customHeight="1">
      <c r="A92" s="6" t="s">
        <v>218</v>
      </c>
      <c r="B92" s="6" t="s">
        <v>219</v>
      </c>
      <c r="C92" s="6" t="s">
        <v>53</v>
      </c>
      <c r="D92" s="6" t="s">
        <v>70</v>
      </c>
      <c r="E92" s="6">
        <v>57.0</v>
      </c>
      <c r="F92" s="9" t="str">
        <f t="array" ref="F92:I92">XLOOKUP(C92,DimJuegos[ID_Juego],DimJuegos[[Titulo]:[Precio_USD]])</f>
        <v>Dark Swordsman</v>
      </c>
      <c r="G92" s="9" t="s">
        <v>55</v>
      </c>
      <c r="H92" s="9" t="s">
        <v>56</v>
      </c>
      <c r="I92" s="10">
        <v>39.99</v>
      </c>
      <c r="J92" s="11">
        <f t="shared" si="1"/>
        <v>2279.43</v>
      </c>
      <c r="K92" s="12">
        <f>J92*Instrucciones!$J$2</f>
        <v>683.829</v>
      </c>
      <c r="L92" s="11">
        <f t="shared" si="2"/>
        <v>1595.601</v>
      </c>
      <c r="M92" s="9" t="str">
        <f t="shared" si="3"/>
        <v>Alto Volumen</v>
      </c>
    </row>
    <row r="93" ht="15.75" customHeight="1">
      <c r="A93" s="6" t="s">
        <v>220</v>
      </c>
      <c r="B93" s="6" t="s">
        <v>221</v>
      </c>
      <c r="C93" s="6" t="s">
        <v>42</v>
      </c>
      <c r="D93" s="6" t="s">
        <v>70</v>
      </c>
      <c r="E93" s="6">
        <v>1.0</v>
      </c>
      <c r="F93" s="9" t="str">
        <f t="array" ref="F93:I93">XLOOKUP(C93,DimJuegos[ID_Juego],DimJuegos[[Titulo]:[Precio_USD]])</f>
        <v>Pirate King Quest</v>
      </c>
      <c r="G93" s="9" t="s">
        <v>44</v>
      </c>
      <c r="H93" s="9" t="s">
        <v>45</v>
      </c>
      <c r="I93" s="10">
        <v>49.99</v>
      </c>
      <c r="J93" s="11">
        <f t="shared" si="1"/>
        <v>49.99</v>
      </c>
      <c r="K93" s="12">
        <f>J93*Instrucciones!$J$2</f>
        <v>14.997</v>
      </c>
      <c r="L93" s="11">
        <f t="shared" si="2"/>
        <v>34.993</v>
      </c>
      <c r="M93" s="9" t="str">
        <f t="shared" si="3"/>
        <v>Retail</v>
      </c>
    </row>
    <row r="94" ht="15.75" customHeight="1">
      <c r="A94" s="6" t="s">
        <v>222</v>
      </c>
      <c r="B94" s="6" t="s">
        <v>223</v>
      </c>
      <c r="C94" s="6" t="s">
        <v>46</v>
      </c>
      <c r="D94" s="6" t="s">
        <v>69</v>
      </c>
      <c r="E94" s="6">
        <v>61.0</v>
      </c>
      <c r="F94" s="9" t="str">
        <f t="array" ref="F94:I94">XLOOKUP(C94,DimJuegos[ID_Juego],DimJuegos[[Titulo]:[Precio_USD]])</f>
        <v>Speed Moto 250z</v>
      </c>
      <c r="G94" s="9" t="s">
        <v>48</v>
      </c>
      <c r="H94" s="9" t="s">
        <v>49</v>
      </c>
      <c r="I94" s="10">
        <v>29.99</v>
      </c>
      <c r="J94" s="11">
        <f t="shared" si="1"/>
        <v>1829.39</v>
      </c>
      <c r="K94" s="12">
        <f>J94*Instrucciones!$J$2</f>
        <v>548.817</v>
      </c>
      <c r="L94" s="11">
        <f t="shared" si="2"/>
        <v>1280.573</v>
      </c>
      <c r="M94" s="9" t="str">
        <f t="shared" si="3"/>
        <v>Alto Volumen</v>
      </c>
    </row>
    <row r="95" ht="15.75" customHeight="1">
      <c r="A95" s="6" t="s">
        <v>224</v>
      </c>
      <c r="B95" s="6" t="s">
        <v>225</v>
      </c>
      <c r="C95" s="6" t="s">
        <v>38</v>
      </c>
      <c r="D95" s="6" t="s">
        <v>66</v>
      </c>
      <c r="E95" s="6">
        <v>29.0</v>
      </c>
      <c r="F95" s="9" t="str">
        <f t="array" ref="F95:I95">XLOOKUP(C95,DimJuegos[ID_Juego],DimJuegos[[Titulo]:[Precio_USD]])</f>
        <v>Hero's Academia Z</v>
      </c>
      <c r="G95" s="9" t="s">
        <v>40</v>
      </c>
      <c r="H95" s="9" t="s">
        <v>41</v>
      </c>
      <c r="I95" s="10">
        <v>59.99</v>
      </c>
      <c r="J95" s="11">
        <f t="shared" si="1"/>
        <v>1739.71</v>
      </c>
      <c r="K95" s="12">
        <f>J95*Instrucciones!$J$2</f>
        <v>521.913</v>
      </c>
      <c r="L95" s="11">
        <f t="shared" si="2"/>
        <v>1217.797</v>
      </c>
      <c r="M95" s="9" t="str">
        <f t="shared" si="3"/>
        <v>Retail</v>
      </c>
    </row>
    <row r="96" ht="15.75" customHeight="1">
      <c r="A96" s="6" t="s">
        <v>226</v>
      </c>
      <c r="B96" s="6" t="s">
        <v>227</v>
      </c>
      <c r="C96" s="6" t="s">
        <v>53</v>
      </c>
      <c r="D96" s="6" t="s">
        <v>66</v>
      </c>
      <c r="E96" s="6">
        <v>48.0</v>
      </c>
      <c r="F96" s="9" t="str">
        <f t="array" ref="F96:I96">XLOOKUP(C96,DimJuegos[ID_Juego],DimJuegos[[Titulo]:[Precio_USD]])</f>
        <v>Dark Swordsman</v>
      </c>
      <c r="G96" s="9" t="s">
        <v>55</v>
      </c>
      <c r="H96" s="9" t="s">
        <v>56</v>
      </c>
      <c r="I96" s="10">
        <v>39.99</v>
      </c>
      <c r="J96" s="11">
        <f t="shared" si="1"/>
        <v>1919.52</v>
      </c>
      <c r="K96" s="12">
        <f>J96*Instrucciones!$J$2</f>
        <v>575.856</v>
      </c>
      <c r="L96" s="11">
        <f t="shared" si="2"/>
        <v>1343.664</v>
      </c>
      <c r="M96" s="9" t="str">
        <f t="shared" si="3"/>
        <v>Retail</v>
      </c>
    </row>
    <row r="97" ht="15.75" customHeight="1">
      <c r="A97" s="6" t="s">
        <v>228</v>
      </c>
      <c r="B97" s="6" t="s">
        <v>229</v>
      </c>
      <c r="C97" s="6" t="s">
        <v>38</v>
      </c>
      <c r="D97" s="6" t="s">
        <v>70</v>
      </c>
      <c r="E97" s="6">
        <v>11.0</v>
      </c>
      <c r="F97" s="9" t="str">
        <f t="array" ref="F97:I97">XLOOKUP(C97,DimJuegos[ID_Juego],DimJuegos[[Titulo]:[Precio_USD]])</f>
        <v>Hero's Academia Z</v>
      </c>
      <c r="G97" s="9" t="s">
        <v>40</v>
      </c>
      <c r="H97" s="9" t="s">
        <v>41</v>
      </c>
      <c r="I97" s="10">
        <v>59.99</v>
      </c>
      <c r="J97" s="11">
        <f t="shared" si="1"/>
        <v>659.89</v>
      </c>
      <c r="K97" s="12">
        <f>J97*Instrucciones!$J$2</f>
        <v>197.967</v>
      </c>
      <c r="L97" s="11">
        <f t="shared" si="2"/>
        <v>461.923</v>
      </c>
      <c r="M97" s="9" t="str">
        <f t="shared" si="3"/>
        <v>Retail</v>
      </c>
    </row>
    <row r="98" ht="15.75" customHeight="1">
      <c r="A98" s="6" t="s">
        <v>230</v>
      </c>
      <c r="B98" s="6" t="s">
        <v>231</v>
      </c>
      <c r="C98" s="6" t="s">
        <v>53</v>
      </c>
      <c r="D98" s="6" t="s">
        <v>70</v>
      </c>
      <c r="E98" s="6">
        <v>79.0</v>
      </c>
      <c r="F98" s="9" t="str">
        <f t="array" ref="F98:I98">XLOOKUP(C98,DimJuegos[ID_Juego],DimJuegos[[Titulo]:[Precio_USD]])</f>
        <v>Dark Swordsman</v>
      </c>
      <c r="G98" s="9" t="s">
        <v>55</v>
      </c>
      <c r="H98" s="9" t="s">
        <v>56</v>
      </c>
      <c r="I98" s="10">
        <v>39.99</v>
      </c>
      <c r="J98" s="11">
        <f t="shared" si="1"/>
        <v>3159.21</v>
      </c>
      <c r="K98" s="12">
        <f>J98*Instrucciones!$J$2</f>
        <v>947.763</v>
      </c>
      <c r="L98" s="11">
        <f t="shared" si="2"/>
        <v>2211.447</v>
      </c>
      <c r="M98" s="9" t="str">
        <f t="shared" si="3"/>
        <v>Alto Volumen</v>
      </c>
    </row>
    <row r="99" ht="15.75" customHeight="1">
      <c r="A99" s="6" t="s">
        <v>232</v>
      </c>
      <c r="B99" s="6" t="s">
        <v>233</v>
      </c>
      <c r="C99" s="6" t="s">
        <v>57</v>
      </c>
      <c r="D99" s="6" t="s">
        <v>71</v>
      </c>
      <c r="E99" s="6">
        <v>27.0</v>
      </c>
      <c r="F99" s="9" t="str">
        <f t="array" ref="F99:I99">XLOOKUP(C99,DimJuegos[ID_Juego],DimJuegos[[Titulo]:[Precio_USD]])</f>
        <v>Urban Street Wear</v>
      </c>
      <c r="G99" s="9" t="s">
        <v>59</v>
      </c>
      <c r="H99" s="9" t="s">
        <v>60</v>
      </c>
      <c r="I99" s="10">
        <v>19.99</v>
      </c>
      <c r="J99" s="11">
        <f t="shared" si="1"/>
        <v>539.73</v>
      </c>
      <c r="K99" s="12">
        <f>J99*Instrucciones!$J$2</f>
        <v>161.919</v>
      </c>
      <c r="L99" s="11">
        <f t="shared" si="2"/>
        <v>377.811</v>
      </c>
      <c r="M99" s="9" t="str">
        <f t="shared" si="3"/>
        <v>Retail</v>
      </c>
    </row>
    <row r="100" ht="15.75" customHeight="1">
      <c r="A100" s="6" t="s">
        <v>234</v>
      </c>
      <c r="B100" s="6" t="s">
        <v>233</v>
      </c>
      <c r="C100" s="6" t="s">
        <v>36</v>
      </c>
      <c r="D100" s="6" t="s">
        <v>69</v>
      </c>
      <c r="E100" s="6">
        <v>2.0</v>
      </c>
      <c r="F100" s="9" t="str">
        <f t="array" ref="F100:I100">XLOOKUP(C100,DimJuegos[ID_Juego],DimJuegos[[Titulo]:[Precio_USD]])</f>
        <v>Soccer Lock 2027</v>
      </c>
      <c r="G100" s="9" t="s">
        <v>51</v>
      </c>
      <c r="H100" s="9" t="s">
        <v>52</v>
      </c>
      <c r="I100" s="10">
        <v>69.99</v>
      </c>
      <c r="J100" s="11">
        <f t="shared" si="1"/>
        <v>139.98</v>
      </c>
      <c r="K100" s="12">
        <f>J100*Instrucciones!$J$2</f>
        <v>41.994</v>
      </c>
      <c r="L100" s="11">
        <f t="shared" si="2"/>
        <v>97.986</v>
      </c>
      <c r="M100" s="9" t="str">
        <f t="shared" si="3"/>
        <v>Retail</v>
      </c>
    </row>
    <row r="101" ht="15.75" customHeight="1">
      <c r="A101" s="6" t="s">
        <v>235</v>
      </c>
      <c r="B101" s="6" t="s">
        <v>236</v>
      </c>
      <c r="C101" s="6" t="s">
        <v>46</v>
      </c>
      <c r="D101" s="6" t="s">
        <v>66</v>
      </c>
      <c r="E101" s="6">
        <v>59.0</v>
      </c>
      <c r="F101" s="9" t="str">
        <f t="array" ref="F101:I101">XLOOKUP(C101,DimJuegos[ID_Juego],DimJuegos[[Titulo]:[Precio_USD]])</f>
        <v>Speed Moto 250z</v>
      </c>
      <c r="G101" s="9" t="s">
        <v>48</v>
      </c>
      <c r="H101" s="9" t="s">
        <v>49</v>
      </c>
      <c r="I101" s="10">
        <v>29.99</v>
      </c>
      <c r="J101" s="11">
        <f t="shared" si="1"/>
        <v>1769.41</v>
      </c>
      <c r="K101" s="12">
        <f>J101*Instrucciones!$J$2</f>
        <v>530.823</v>
      </c>
      <c r="L101" s="11">
        <f t="shared" si="2"/>
        <v>1238.587</v>
      </c>
      <c r="M101" s="9" t="str">
        <f t="shared" si="3"/>
        <v>Alto Volumen</v>
      </c>
    </row>
    <row r="102" ht="15.75" customHeight="1">
      <c r="A102" s="6" t="s">
        <v>237</v>
      </c>
      <c r="B102" s="6" t="s">
        <v>238</v>
      </c>
      <c r="C102" s="6" t="s">
        <v>38</v>
      </c>
      <c r="D102" s="6" t="s">
        <v>70</v>
      </c>
      <c r="E102" s="6">
        <v>54.0</v>
      </c>
      <c r="F102" s="9" t="str">
        <f t="array" ref="F102:I102">XLOOKUP(C102,DimJuegos[ID_Juego],DimJuegos[[Titulo]:[Precio_USD]])</f>
        <v>Hero's Academia Z</v>
      </c>
      <c r="G102" s="9" t="s">
        <v>40</v>
      </c>
      <c r="H102" s="9" t="s">
        <v>41</v>
      </c>
      <c r="I102" s="10">
        <v>59.99</v>
      </c>
      <c r="J102" s="11">
        <f t="shared" si="1"/>
        <v>3239.46</v>
      </c>
      <c r="K102" s="12">
        <f>J102*Instrucciones!$J$2</f>
        <v>971.838</v>
      </c>
      <c r="L102" s="11">
        <f t="shared" si="2"/>
        <v>2267.622</v>
      </c>
      <c r="M102" s="9" t="str">
        <f t="shared" si="3"/>
        <v>Alto Volumen</v>
      </c>
    </row>
    <row r="103" ht="15.75" customHeight="1">
      <c r="A103" s="6" t="s">
        <v>239</v>
      </c>
      <c r="B103" s="6" t="s">
        <v>240</v>
      </c>
      <c r="C103" s="6" t="s">
        <v>46</v>
      </c>
      <c r="D103" s="6" t="s">
        <v>70</v>
      </c>
      <c r="E103" s="6">
        <v>8.0</v>
      </c>
      <c r="F103" s="9" t="str">
        <f t="array" ref="F103:I103">XLOOKUP(C103,DimJuegos[ID_Juego],DimJuegos[[Titulo]:[Precio_USD]])</f>
        <v>Speed Moto 250z</v>
      </c>
      <c r="G103" s="9" t="s">
        <v>48</v>
      </c>
      <c r="H103" s="9" t="s">
        <v>49</v>
      </c>
      <c r="I103" s="10">
        <v>29.99</v>
      </c>
      <c r="J103" s="11">
        <f t="shared" si="1"/>
        <v>239.92</v>
      </c>
      <c r="K103" s="12">
        <f>J103*Instrucciones!$J$2</f>
        <v>71.976</v>
      </c>
      <c r="L103" s="11">
        <f t="shared" si="2"/>
        <v>167.944</v>
      </c>
      <c r="M103" s="9" t="str">
        <f t="shared" si="3"/>
        <v>Retail</v>
      </c>
    </row>
    <row r="104" ht="15.75" customHeight="1">
      <c r="A104" s="6" t="s">
        <v>241</v>
      </c>
      <c r="B104" s="6" t="s">
        <v>242</v>
      </c>
      <c r="C104" s="6" t="s">
        <v>38</v>
      </c>
      <c r="D104" s="6" t="s">
        <v>69</v>
      </c>
      <c r="E104" s="6">
        <v>99.0</v>
      </c>
      <c r="F104" s="9" t="str">
        <f t="array" ref="F104:I104">XLOOKUP(C104,DimJuegos[ID_Juego],DimJuegos[[Titulo]:[Precio_USD]])</f>
        <v>Hero's Academia Z</v>
      </c>
      <c r="G104" s="9" t="s">
        <v>40</v>
      </c>
      <c r="H104" s="9" t="s">
        <v>41</v>
      </c>
      <c r="I104" s="10">
        <v>59.99</v>
      </c>
      <c r="J104" s="11">
        <f t="shared" si="1"/>
        <v>5939.01</v>
      </c>
      <c r="K104" s="12">
        <f>J104*Instrucciones!$J$2</f>
        <v>1781.703</v>
      </c>
      <c r="L104" s="11">
        <f t="shared" si="2"/>
        <v>4157.307</v>
      </c>
      <c r="M104" s="9" t="str">
        <f t="shared" si="3"/>
        <v>Alto Volumen</v>
      </c>
    </row>
    <row r="105" ht="15.75" customHeight="1">
      <c r="A105" s="6" t="s">
        <v>243</v>
      </c>
      <c r="B105" s="6" t="s">
        <v>242</v>
      </c>
      <c r="C105" s="6" t="s">
        <v>46</v>
      </c>
      <c r="D105" s="6" t="s">
        <v>69</v>
      </c>
      <c r="E105" s="6">
        <v>17.0</v>
      </c>
      <c r="F105" s="9" t="str">
        <f t="array" ref="F105:I105">XLOOKUP(C105,DimJuegos[ID_Juego],DimJuegos[[Titulo]:[Precio_USD]])</f>
        <v>Speed Moto 250z</v>
      </c>
      <c r="G105" s="9" t="s">
        <v>48</v>
      </c>
      <c r="H105" s="9" t="s">
        <v>49</v>
      </c>
      <c r="I105" s="10">
        <v>29.99</v>
      </c>
      <c r="J105" s="11">
        <f t="shared" si="1"/>
        <v>509.83</v>
      </c>
      <c r="K105" s="12">
        <f>J105*Instrucciones!$J$2</f>
        <v>152.949</v>
      </c>
      <c r="L105" s="11">
        <f t="shared" si="2"/>
        <v>356.881</v>
      </c>
      <c r="M105" s="9" t="str">
        <f t="shared" si="3"/>
        <v>Retail</v>
      </c>
    </row>
    <row r="106" ht="15.75" customHeight="1">
      <c r="A106" s="6" t="s">
        <v>244</v>
      </c>
      <c r="B106" s="6" t="s">
        <v>245</v>
      </c>
      <c r="C106" s="6" t="s">
        <v>24</v>
      </c>
      <c r="D106" s="6" t="s">
        <v>71</v>
      </c>
      <c r="E106" s="6">
        <v>47.0</v>
      </c>
      <c r="F106" s="9" t="str">
        <f t="array" ref="F106:I106">XLOOKUP(C106,DimJuegos[ID_Juego],DimJuegos[[Titulo]:[Precio_USD]])</f>
        <v>Eco's Adventure</v>
      </c>
      <c r="G106" s="9" t="s">
        <v>31</v>
      </c>
      <c r="H106" s="9" t="s">
        <v>32</v>
      </c>
      <c r="I106" s="10">
        <v>15.0</v>
      </c>
      <c r="J106" s="11">
        <f t="shared" si="1"/>
        <v>705</v>
      </c>
      <c r="K106" s="12">
        <f>J106*Instrucciones!$J$2</f>
        <v>211.5</v>
      </c>
      <c r="L106" s="11">
        <f t="shared" si="2"/>
        <v>493.5</v>
      </c>
      <c r="M106" s="9" t="str">
        <f t="shared" si="3"/>
        <v>Retail</v>
      </c>
    </row>
    <row r="107" ht="15.75" customHeight="1">
      <c r="A107" s="6" t="s">
        <v>246</v>
      </c>
      <c r="B107" s="6" t="s">
        <v>245</v>
      </c>
      <c r="C107" s="6" t="s">
        <v>36</v>
      </c>
      <c r="D107" s="6" t="s">
        <v>71</v>
      </c>
      <c r="E107" s="6">
        <v>12.0</v>
      </c>
      <c r="F107" s="9" t="str">
        <f t="array" ref="F107:I107">XLOOKUP(C107,DimJuegos[ID_Juego],DimJuegos[[Titulo]:[Precio_USD]])</f>
        <v>Soccer Lock 2027</v>
      </c>
      <c r="G107" s="9" t="s">
        <v>51</v>
      </c>
      <c r="H107" s="9" t="s">
        <v>52</v>
      </c>
      <c r="I107" s="10">
        <v>69.99</v>
      </c>
      <c r="J107" s="11">
        <f t="shared" si="1"/>
        <v>839.88</v>
      </c>
      <c r="K107" s="12">
        <f>J107*Instrucciones!$J$2</f>
        <v>251.964</v>
      </c>
      <c r="L107" s="11">
        <f t="shared" si="2"/>
        <v>587.916</v>
      </c>
      <c r="M107" s="9" t="str">
        <f t="shared" si="3"/>
        <v>Retail</v>
      </c>
    </row>
    <row r="108" ht="15.75" customHeight="1">
      <c r="A108" s="6" t="s">
        <v>247</v>
      </c>
      <c r="B108" s="6" t="s">
        <v>248</v>
      </c>
      <c r="C108" s="6" t="s">
        <v>38</v>
      </c>
      <c r="D108" s="6" t="s">
        <v>71</v>
      </c>
      <c r="E108" s="6">
        <v>15.0</v>
      </c>
      <c r="F108" s="9" t="str">
        <f t="array" ref="F108:I108">XLOOKUP(C108,DimJuegos[ID_Juego],DimJuegos[[Titulo]:[Precio_USD]])</f>
        <v>Hero's Academia Z</v>
      </c>
      <c r="G108" s="9" t="s">
        <v>40</v>
      </c>
      <c r="H108" s="9" t="s">
        <v>41</v>
      </c>
      <c r="I108" s="10">
        <v>59.99</v>
      </c>
      <c r="J108" s="11">
        <f t="shared" si="1"/>
        <v>899.85</v>
      </c>
      <c r="K108" s="12">
        <f>J108*Instrucciones!$J$2</f>
        <v>269.955</v>
      </c>
      <c r="L108" s="11">
        <f t="shared" si="2"/>
        <v>629.895</v>
      </c>
      <c r="M108" s="9" t="str">
        <f t="shared" si="3"/>
        <v>Retail</v>
      </c>
    </row>
    <row r="109" ht="15.75" customHeight="1">
      <c r="A109" s="6" t="s">
        <v>249</v>
      </c>
      <c r="B109" s="6" t="s">
        <v>250</v>
      </c>
      <c r="C109" s="6" t="s">
        <v>57</v>
      </c>
      <c r="D109" s="6" t="s">
        <v>69</v>
      </c>
      <c r="E109" s="6">
        <v>58.0</v>
      </c>
      <c r="F109" s="9" t="str">
        <f t="array" ref="F109:I109">XLOOKUP(C109,DimJuegos[ID_Juego],DimJuegos[[Titulo]:[Precio_USD]])</f>
        <v>Urban Street Wear</v>
      </c>
      <c r="G109" s="9" t="s">
        <v>59</v>
      </c>
      <c r="H109" s="9" t="s">
        <v>60</v>
      </c>
      <c r="I109" s="10">
        <v>19.99</v>
      </c>
      <c r="J109" s="11">
        <f t="shared" si="1"/>
        <v>1159.42</v>
      </c>
      <c r="K109" s="12">
        <f>J109*Instrucciones!$J$2</f>
        <v>347.826</v>
      </c>
      <c r="L109" s="11">
        <f t="shared" si="2"/>
        <v>811.594</v>
      </c>
      <c r="M109" s="9" t="str">
        <f t="shared" si="3"/>
        <v>Alto Volumen</v>
      </c>
    </row>
    <row r="110" ht="15.75" customHeight="1">
      <c r="A110" s="6" t="s">
        <v>251</v>
      </c>
      <c r="B110" s="6" t="s">
        <v>252</v>
      </c>
      <c r="C110" s="6" t="s">
        <v>46</v>
      </c>
      <c r="D110" s="6" t="s">
        <v>37</v>
      </c>
      <c r="E110" s="6">
        <v>86.0</v>
      </c>
      <c r="F110" s="9" t="str">
        <f t="array" ref="F110:I110">XLOOKUP(C110,DimJuegos[ID_Juego],DimJuegos[[Titulo]:[Precio_USD]])</f>
        <v>Speed Moto 250z</v>
      </c>
      <c r="G110" s="9" t="s">
        <v>48</v>
      </c>
      <c r="H110" s="9" t="s">
        <v>49</v>
      </c>
      <c r="I110" s="10">
        <v>29.99</v>
      </c>
      <c r="J110" s="11">
        <f t="shared" si="1"/>
        <v>2579.14</v>
      </c>
      <c r="K110" s="12">
        <f>J110*Instrucciones!$J$2</f>
        <v>773.742</v>
      </c>
      <c r="L110" s="11">
        <f t="shared" si="2"/>
        <v>1805.398</v>
      </c>
      <c r="M110" s="9" t="str">
        <f t="shared" si="3"/>
        <v>Alto Volumen</v>
      </c>
    </row>
    <row r="111" ht="15.75" customHeight="1">
      <c r="A111" s="6" t="s">
        <v>253</v>
      </c>
      <c r="B111" s="6" t="s">
        <v>254</v>
      </c>
      <c r="C111" s="6" t="s">
        <v>61</v>
      </c>
      <c r="D111" s="6" t="s">
        <v>71</v>
      </c>
      <c r="E111" s="6">
        <v>72.0</v>
      </c>
      <c r="F111" s="9" t="str">
        <f t="array" ref="F111:I111">XLOOKUP(C111,DimJuegos[ID_Juego],DimJuegos[[Titulo]:[Precio_USD]])</f>
        <v>Chess Grandmaster</v>
      </c>
      <c r="G111" s="9" t="s">
        <v>63</v>
      </c>
      <c r="H111" s="9" t="s">
        <v>64</v>
      </c>
      <c r="I111" s="10">
        <v>9.99</v>
      </c>
      <c r="J111" s="11">
        <f t="shared" si="1"/>
        <v>719.28</v>
      </c>
      <c r="K111" s="12">
        <f>J111*Instrucciones!$J$2</f>
        <v>215.784</v>
      </c>
      <c r="L111" s="11">
        <f t="shared" si="2"/>
        <v>503.496</v>
      </c>
      <c r="M111" s="9" t="str">
        <f t="shared" si="3"/>
        <v>Alto Volumen</v>
      </c>
    </row>
    <row r="112" ht="15.75" customHeight="1">
      <c r="A112" s="6" t="s">
        <v>255</v>
      </c>
      <c r="B112" s="6" t="s">
        <v>256</v>
      </c>
      <c r="C112" s="6" t="s">
        <v>46</v>
      </c>
      <c r="D112" s="6" t="s">
        <v>37</v>
      </c>
      <c r="E112" s="6">
        <v>56.0</v>
      </c>
      <c r="F112" s="9" t="str">
        <f t="array" ref="F112:I112">XLOOKUP(C112,DimJuegos[ID_Juego],DimJuegos[[Titulo]:[Precio_USD]])</f>
        <v>Speed Moto 250z</v>
      </c>
      <c r="G112" s="9" t="s">
        <v>48</v>
      </c>
      <c r="H112" s="9" t="s">
        <v>49</v>
      </c>
      <c r="I112" s="10">
        <v>29.99</v>
      </c>
      <c r="J112" s="11">
        <f t="shared" si="1"/>
        <v>1679.44</v>
      </c>
      <c r="K112" s="12">
        <f>J112*Instrucciones!$J$2</f>
        <v>503.832</v>
      </c>
      <c r="L112" s="11">
        <f t="shared" si="2"/>
        <v>1175.608</v>
      </c>
      <c r="M112" s="9" t="str">
        <f t="shared" si="3"/>
        <v>Alto Volumen</v>
      </c>
    </row>
    <row r="113" ht="15.75" customHeight="1">
      <c r="A113" s="6" t="s">
        <v>257</v>
      </c>
      <c r="B113" s="6" t="s">
        <v>258</v>
      </c>
      <c r="C113" s="6" t="s">
        <v>24</v>
      </c>
      <c r="D113" s="6" t="s">
        <v>37</v>
      </c>
      <c r="E113" s="6">
        <v>8.0</v>
      </c>
      <c r="F113" s="9" t="str">
        <f t="array" ref="F113:I113">XLOOKUP(C113,DimJuegos[ID_Juego],DimJuegos[[Titulo]:[Precio_USD]])</f>
        <v>Eco's Adventure</v>
      </c>
      <c r="G113" s="9" t="s">
        <v>31</v>
      </c>
      <c r="H113" s="9" t="s">
        <v>32</v>
      </c>
      <c r="I113" s="10">
        <v>15.0</v>
      </c>
      <c r="J113" s="11">
        <f t="shared" si="1"/>
        <v>120</v>
      </c>
      <c r="K113" s="12">
        <f>J113*Instrucciones!$J$2</f>
        <v>36</v>
      </c>
      <c r="L113" s="11">
        <f t="shared" si="2"/>
        <v>84</v>
      </c>
      <c r="M113" s="9" t="str">
        <f t="shared" si="3"/>
        <v>Retail</v>
      </c>
    </row>
    <row r="114" ht="15.75" customHeight="1">
      <c r="A114" s="6" t="s">
        <v>259</v>
      </c>
      <c r="B114" s="6" t="s">
        <v>260</v>
      </c>
      <c r="C114" s="6" t="s">
        <v>36</v>
      </c>
      <c r="D114" s="6" t="s">
        <v>69</v>
      </c>
      <c r="E114" s="6">
        <v>47.0</v>
      </c>
      <c r="F114" s="9" t="str">
        <f t="array" ref="F114:I114">XLOOKUP(C114,DimJuegos[ID_Juego],DimJuegos[[Titulo]:[Precio_USD]])</f>
        <v>Soccer Lock 2027</v>
      </c>
      <c r="G114" s="9" t="s">
        <v>51</v>
      </c>
      <c r="H114" s="9" t="s">
        <v>52</v>
      </c>
      <c r="I114" s="10">
        <v>69.99</v>
      </c>
      <c r="J114" s="11">
        <f t="shared" si="1"/>
        <v>3289.53</v>
      </c>
      <c r="K114" s="12">
        <f>J114*Instrucciones!$J$2</f>
        <v>986.859</v>
      </c>
      <c r="L114" s="11">
        <f t="shared" si="2"/>
        <v>2302.671</v>
      </c>
      <c r="M114" s="9" t="str">
        <f t="shared" si="3"/>
        <v>Retail</v>
      </c>
    </row>
    <row r="115" ht="15.75" customHeight="1">
      <c r="A115" s="6" t="s">
        <v>261</v>
      </c>
      <c r="B115" s="6" t="s">
        <v>260</v>
      </c>
      <c r="C115" s="6" t="s">
        <v>46</v>
      </c>
      <c r="D115" s="6" t="s">
        <v>69</v>
      </c>
      <c r="E115" s="6">
        <v>29.0</v>
      </c>
      <c r="F115" s="9" t="str">
        <f t="array" ref="F115:I115">XLOOKUP(C115,DimJuegos[ID_Juego],DimJuegos[[Titulo]:[Precio_USD]])</f>
        <v>Speed Moto 250z</v>
      </c>
      <c r="G115" s="9" t="s">
        <v>48</v>
      </c>
      <c r="H115" s="9" t="s">
        <v>49</v>
      </c>
      <c r="I115" s="10">
        <v>29.99</v>
      </c>
      <c r="J115" s="11">
        <f t="shared" si="1"/>
        <v>869.71</v>
      </c>
      <c r="K115" s="12">
        <f>J115*Instrucciones!$J$2</f>
        <v>260.913</v>
      </c>
      <c r="L115" s="11">
        <f t="shared" si="2"/>
        <v>608.797</v>
      </c>
      <c r="M115" s="9" t="str">
        <f t="shared" si="3"/>
        <v>Retail</v>
      </c>
    </row>
    <row r="116" ht="15.75" customHeight="1">
      <c r="A116" s="6" t="s">
        <v>262</v>
      </c>
      <c r="B116" s="6" t="s">
        <v>263</v>
      </c>
      <c r="C116" s="6" t="s">
        <v>57</v>
      </c>
      <c r="D116" s="6" t="s">
        <v>69</v>
      </c>
      <c r="E116" s="6">
        <v>96.0</v>
      </c>
      <c r="F116" s="9" t="str">
        <f t="array" ref="F116:I116">XLOOKUP(C116,DimJuegos[ID_Juego],DimJuegos[[Titulo]:[Precio_USD]])</f>
        <v>Urban Street Wear</v>
      </c>
      <c r="G116" s="9" t="s">
        <v>59</v>
      </c>
      <c r="H116" s="9" t="s">
        <v>60</v>
      </c>
      <c r="I116" s="10">
        <v>19.99</v>
      </c>
      <c r="J116" s="11">
        <f t="shared" si="1"/>
        <v>1919.04</v>
      </c>
      <c r="K116" s="12">
        <f>J116*Instrucciones!$J$2</f>
        <v>575.712</v>
      </c>
      <c r="L116" s="11">
        <f t="shared" si="2"/>
        <v>1343.328</v>
      </c>
      <c r="M116" s="9" t="str">
        <f t="shared" si="3"/>
        <v>Alto Volumen</v>
      </c>
    </row>
    <row r="117" ht="15.75" customHeight="1">
      <c r="A117" s="6" t="s">
        <v>264</v>
      </c>
      <c r="B117" s="6" t="s">
        <v>265</v>
      </c>
      <c r="C117" s="6" t="s">
        <v>38</v>
      </c>
      <c r="D117" s="6" t="s">
        <v>71</v>
      </c>
      <c r="E117" s="6">
        <v>94.0</v>
      </c>
      <c r="F117" s="9" t="str">
        <f t="array" ref="F117:I117">XLOOKUP(C117,DimJuegos[ID_Juego],DimJuegos[[Titulo]:[Precio_USD]])</f>
        <v>Hero's Academia Z</v>
      </c>
      <c r="G117" s="9" t="s">
        <v>40</v>
      </c>
      <c r="H117" s="9" t="s">
        <v>41</v>
      </c>
      <c r="I117" s="10">
        <v>59.99</v>
      </c>
      <c r="J117" s="11">
        <f t="shared" si="1"/>
        <v>5639.06</v>
      </c>
      <c r="K117" s="12">
        <f>J117*Instrucciones!$J$2</f>
        <v>1691.718</v>
      </c>
      <c r="L117" s="11">
        <f t="shared" si="2"/>
        <v>3947.342</v>
      </c>
      <c r="M117" s="9" t="str">
        <f t="shared" si="3"/>
        <v>Alto Volumen</v>
      </c>
    </row>
    <row r="118" ht="15.75" customHeight="1">
      <c r="A118" s="6" t="s">
        <v>266</v>
      </c>
      <c r="B118" s="6" t="s">
        <v>265</v>
      </c>
      <c r="C118" s="6" t="s">
        <v>46</v>
      </c>
      <c r="D118" s="6" t="s">
        <v>69</v>
      </c>
      <c r="E118" s="6">
        <v>77.0</v>
      </c>
      <c r="F118" s="9" t="str">
        <f t="array" ref="F118:I118">XLOOKUP(C118,DimJuegos[ID_Juego],DimJuegos[[Titulo]:[Precio_USD]])</f>
        <v>Speed Moto 250z</v>
      </c>
      <c r="G118" s="9" t="s">
        <v>48</v>
      </c>
      <c r="H118" s="9" t="s">
        <v>49</v>
      </c>
      <c r="I118" s="10">
        <v>29.99</v>
      </c>
      <c r="J118" s="11">
        <f t="shared" si="1"/>
        <v>2309.23</v>
      </c>
      <c r="K118" s="12">
        <f>J118*Instrucciones!$J$2</f>
        <v>692.769</v>
      </c>
      <c r="L118" s="11">
        <f t="shared" si="2"/>
        <v>1616.461</v>
      </c>
      <c r="M118" s="9" t="str">
        <f t="shared" si="3"/>
        <v>Alto Volumen</v>
      </c>
    </row>
    <row r="119" ht="15.75" customHeight="1">
      <c r="A119" s="6" t="s">
        <v>267</v>
      </c>
      <c r="B119" s="6" t="s">
        <v>268</v>
      </c>
      <c r="C119" s="6" t="s">
        <v>61</v>
      </c>
      <c r="D119" s="6" t="s">
        <v>66</v>
      </c>
      <c r="E119" s="6">
        <v>61.0</v>
      </c>
      <c r="F119" s="9" t="str">
        <f t="array" ref="F119:I119">XLOOKUP(C119,DimJuegos[ID_Juego],DimJuegos[[Titulo]:[Precio_USD]])</f>
        <v>Chess Grandmaster</v>
      </c>
      <c r="G119" s="9" t="s">
        <v>63</v>
      </c>
      <c r="H119" s="9" t="s">
        <v>64</v>
      </c>
      <c r="I119" s="10">
        <v>9.99</v>
      </c>
      <c r="J119" s="11">
        <f t="shared" si="1"/>
        <v>609.39</v>
      </c>
      <c r="K119" s="12">
        <f>J119*Instrucciones!$J$2</f>
        <v>182.817</v>
      </c>
      <c r="L119" s="11">
        <f t="shared" si="2"/>
        <v>426.573</v>
      </c>
      <c r="M119" s="9" t="str">
        <f t="shared" si="3"/>
        <v>Alto Volumen</v>
      </c>
    </row>
    <row r="120" ht="15.75" customHeight="1">
      <c r="A120" s="6" t="s">
        <v>269</v>
      </c>
      <c r="B120" s="6" t="s">
        <v>270</v>
      </c>
      <c r="C120" s="6" t="s">
        <v>46</v>
      </c>
      <c r="D120" s="6" t="s">
        <v>71</v>
      </c>
      <c r="E120" s="6">
        <v>6.0</v>
      </c>
      <c r="F120" s="9" t="str">
        <f t="array" ref="F120:I120">XLOOKUP(C120,DimJuegos[ID_Juego],DimJuegos[[Titulo]:[Precio_USD]])</f>
        <v>Speed Moto 250z</v>
      </c>
      <c r="G120" s="9" t="s">
        <v>48</v>
      </c>
      <c r="H120" s="9" t="s">
        <v>49</v>
      </c>
      <c r="I120" s="10">
        <v>29.99</v>
      </c>
      <c r="J120" s="11">
        <f t="shared" si="1"/>
        <v>179.94</v>
      </c>
      <c r="K120" s="12">
        <f>J120*Instrucciones!$J$2</f>
        <v>53.982</v>
      </c>
      <c r="L120" s="11">
        <f t="shared" si="2"/>
        <v>125.958</v>
      </c>
      <c r="M120" s="9" t="str">
        <f t="shared" si="3"/>
        <v>Retail</v>
      </c>
    </row>
    <row r="121" ht="15.75" customHeight="1">
      <c r="A121" s="6" t="s">
        <v>271</v>
      </c>
      <c r="B121" s="6" t="s">
        <v>272</v>
      </c>
      <c r="C121" s="6" t="s">
        <v>36</v>
      </c>
      <c r="D121" s="6" t="s">
        <v>71</v>
      </c>
      <c r="E121" s="6">
        <v>14.0</v>
      </c>
      <c r="F121" s="9" t="str">
        <f t="array" ref="F121:I121">XLOOKUP(C121,DimJuegos[ID_Juego],DimJuegos[[Titulo]:[Precio_USD]])</f>
        <v>Soccer Lock 2027</v>
      </c>
      <c r="G121" s="9" t="s">
        <v>51</v>
      </c>
      <c r="H121" s="9" t="s">
        <v>52</v>
      </c>
      <c r="I121" s="10">
        <v>69.99</v>
      </c>
      <c r="J121" s="11">
        <f t="shared" si="1"/>
        <v>979.86</v>
      </c>
      <c r="K121" s="12">
        <f>J121*Instrucciones!$J$2</f>
        <v>293.958</v>
      </c>
      <c r="L121" s="11">
        <f t="shared" si="2"/>
        <v>685.902</v>
      </c>
      <c r="M121" s="9" t="str">
        <f t="shared" si="3"/>
        <v>Retail</v>
      </c>
    </row>
    <row r="122" ht="15.75" customHeight="1">
      <c r="A122" s="6" t="s">
        <v>273</v>
      </c>
      <c r="B122" s="6" t="s">
        <v>274</v>
      </c>
      <c r="C122" s="6" t="s">
        <v>53</v>
      </c>
      <c r="D122" s="6" t="s">
        <v>37</v>
      </c>
      <c r="E122" s="6">
        <v>27.0</v>
      </c>
      <c r="F122" s="9" t="str">
        <f t="array" ref="F122:I122">XLOOKUP(C122,DimJuegos[ID_Juego],DimJuegos[[Titulo]:[Precio_USD]])</f>
        <v>Dark Swordsman</v>
      </c>
      <c r="G122" s="9" t="s">
        <v>55</v>
      </c>
      <c r="H122" s="9" t="s">
        <v>56</v>
      </c>
      <c r="I122" s="10">
        <v>39.99</v>
      </c>
      <c r="J122" s="11">
        <f t="shared" si="1"/>
        <v>1079.73</v>
      </c>
      <c r="K122" s="12">
        <f>J122*Instrucciones!$J$2</f>
        <v>323.919</v>
      </c>
      <c r="L122" s="11">
        <f t="shared" si="2"/>
        <v>755.811</v>
      </c>
      <c r="M122" s="9" t="str">
        <f t="shared" si="3"/>
        <v>Retail</v>
      </c>
    </row>
    <row r="123" ht="15.75" customHeight="1">
      <c r="A123" s="6" t="s">
        <v>275</v>
      </c>
      <c r="B123" s="6" t="s">
        <v>276</v>
      </c>
      <c r="C123" s="6" t="s">
        <v>36</v>
      </c>
      <c r="D123" s="6" t="s">
        <v>71</v>
      </c>
      <c r="E123" s="6">
        <v>98.0</v>
      </c>
      <c r="F123" s="9" t="str">
        <f t="array" ref="F123:I123">XLOOKUP(C123,DimJuegos[ID_Juego],DimJuegos[[Titulo]:[Precio_USD]])</f>
        <v>Soccer Lock 2027</v>
      </c>
      <c r="G123" s="9" t="s">
        <v>51</v>
      </c>
      <c r="H123" s="9" t="s">
        <v>52</v>
      </c>
      <c r="I123" s="10">
        <v>69.99</v>
      </c>
      <c r="J123" s="11">
        <f t="shared" si="1"/>
        <v>6859.02</v>
      </c>
      <c r="K123" s="12">
        <f>J123*Instrucciones!$J$2</f>
        <v>2057.706</v>
      </c>
      <c r="L123" s="11">
        <f t="shared" si="2"/>
        <v>4801.314</v>
      </c>
      <c r="M123" s="9" t="str">
        <f t="shared" si="3"/>
        <v>Alto Volumen</v>
      </c>
    </row>
    <row r="124" ht="15.75" customHeight="1">
      <c r="A124" s="6" t="s">
        <v>277</v>
      </c>
      <c r="B124" s="6" t="s">
        <v>278</v>
      </c>
      <c r="C124" s="6" t="s">
        <v>57</v>
      </c>
      <c r="D124" s="6" t="s">
        <v>37</v>
      </c>
      <c r="E124" s="6">
        <v>94.0</v>
      </c>
      <c r="F124" s="9" t="str">
        <f t="array" ref="F124:I124">XLOOKUP(C124,DimJuegos[ID_Juego],DimJuegos[[Titulo]:[Precio_USD]])</f>
        <v>Urban Street Wear</v>
      </c>
      <c r="G124" s="9" t="s">
        <v>59</v>
      </c>
      <c r="H124" s="9" t="s">
        <v>60</v>
      </c>
      <c r="I124" s="10">
        <v>19.99</v>
      </c>
      <c r="J124" s="11">
        <f t="shared" si="1"/>
        <v>1879.06</v>
      </c>
      <c r="K124" s="12">
        <f>J124*Instrucciones!$J$2</f>
        <v>563.718</v>
      </c>
      <c r="L124" s="11">
        <f t="shared" si="2"/>
        <v>1315.342</v>
      </c>
      <c r="M124" s="9" t="str">
        <f t="shared" si="3"/>
        <v>Alto Volumen</v>
      </c>
    </row>
    <row r="125" ht="15.75" customHeight="1">
      <c r="A125" s="6" t="s">
        <v>279</v>
      </c>
      <c r="B125" s="6" t="s">
        <v>280</v>
      </c>
      <c r="C125" s="6" t="s">
        <v>38</v>
      </c>
      <c r="D125" s="6" t="s">
        <v>71</v>
      </c>
      <c r="E125" s="6">
        <v>69.0</v>
      </c>
      <c r="F125" s="9" t="str">
        <f t="array" ref="F125:I125">XLOOKUP(C125,DimJuegos[ID_Juego],DimJuegos[[Titulo]:[Precio_USD]])</f>
        <v>Hero's Academia Z</v>
      </c>
      <c r="G125" s="9" t="s">
        <v>40</v>
      </c>
      <c r="H125" s="9" t="s">
        <v>41</v>
      </c>
      <c r="I125" s="10">
        <v>59.99</v>
      </c>
      <c r="J125" s="11">
        <f t="shared" si="1"/>
        <v>4139.31</v>
      </c>
      <c r="K125" s="12">
        <f>J125*Instrucciones!$J$2</f>
        <v>1241.793</v>
      </c>
      <c r="L125" s="11">
        <f t="shared" si="2"/>
        <v>2897.517</v>
      </c>
      <c r="M125" s="9" t="str">
        <f t="shared" si="3"/>
        <v>Alto Volumen</v>
      </c>
    </row>
    <row r="126" ht="15.75" customHeight="1">
      <c r="A126" s="6" t="s">
        <v>281</v>
      </c>
      <c r="B126" s="6" t="s">
        <v>282</v>
      </c>
      <c r="C126" s="6" t="s">
        <v>36</v>
      </c>
      <c r="D126" s="6" t="s">
        <v>69</v>
      </c>
      <c r="E126" s="6">
        <v>78.0</v>
      </c>
      <c r="F126" s="9" t="str">
        <f t="array" ref="F126:I126">XLOOKUP(C126,DimJuegos[ID_Juego],DimJuegos[[Titulo]:[Precio_USD]])</f>
        <v>Soccer Lock 2027</v>
      </c>
      <c r="G126" s="9" t="s">
        <v>51</v>
      </c>
      <c r="H126" s="9" t="s">
        <v>52</v>
      </c>
      <c r="I126" s="10">
        <v>69.99</v>
      </c>
      <c r="J126" s="11">
        <f t="shared" si="1"/>
        <v>5459.22</v>
      </c>
      <c r="K126" s="12">
        <f>J126*Instrucciones!$J$2</f>
        <v>1637.766</v>
      </c>
      <c r="L126" s="11">
        <f t="shared" si="2"/>
        <v>3821.454</v>
      </c>
      <c r="M126" s="9" t="str">
        <f t="shared" si="3"/>
        <v>Alto Volumen</v>
      </c>
    </row>
    <row r="127" ht="15.75" customHeight="1">
      <c r="A127" s="6" t="s">
        <v>283</v>
      </c>
      <c r="B127" s="6" t="s">
        <v>282</v>
      </c>
      <c r="C127" s="6" t="s">
        <v>46</v>
      </c>
      <c r="D127" s="6" t="s">
        <v>37</v>
      </c>
      <c r="E127" s="6">
        <v>57.0</v>
      </c>
      <c r="F127" s="9" t="str">
        <f t="array" ref="F127:I127">XLOOKUP(C127,DimJuegos[ID_Juego],DimJuegos[[Titulo]:[Precio_USD]])</f>
        <v>Speed Moto 250z</v>
      </c>
      <c r="G127" s="9" t="s">
        <v>48</v>
      </c>
      <c r="H127" s="9" t="s">
        <v>49</v>
      </c>
      <c r="I127" s="10">
        <v>29.99</v>
      </c>
      <c r="J127" s="11">
        <f t="shared" si="1"/>
        <v>1709.43</v>
      </c>
      <c r="K127" s="12">
        <f>J127*Instrucciones!$J$2</f>
        <v>512.829</v>
      </c>
      <c r="L127" s="11">
        <f t="shared" si="2"/>
        <v>1196.601</v>
      </c>
      <c r="M127" s="9" t="str">
        <f t="shared" si="3"/>
        <v>Alto Volumen</v>
      </c>
    </row>
    <row r="128" ht="15.75" customHeight="1">
      <c r="A128" s="6" t="s">
        <v>284</v>
      </c>
      <c r="B128" s="6" t="s">
        <v>285</v>
      </c>
      <c r="C128" s="6" t="s">
        <v>46</v>
      </c>
      <c r="D128" s="6" t="s">
        <v>70</v>
      </c>
      <c r="E128" s="6">
        <v>64.0</v>
      </c>
      <c r="F128" s="9" t="str">
        <f t="array" ref="F128:I128">XLOOKUP(C128,DimJuegos[ID_Juego],DimJuegos[[Titulo]:[Precio_USD]])</f>
        <v>Speed Moto 250z</v>
      </c>
      <c r="G128" s="9" t="s">
        <v>48</v>
      </c>
      <c r="H128" s="9" t="s">
        <v>49</v>
      </c>
      <c r="I128" s="10">
        <v>29.99</v>
      </c>
      <c r="J128" s="11">
        <f t="shared" si="1"/>
        <v>1919.36</v>
      </c>
      <c r="K128" s="12">
        <f>J128*Instrucciones!$J$2</f>
        <v>575.808</v>
      </c>
      <c r="L128" s="11">
        <f t="shared" si="2"/>
        <v>1343.552</v>
      </c>
      <c r="M128" s="9" t="str">
        <f t="shared" si="3"/>
        <v>Alto Volumen</v>
      </c>
    </row>
    <row r="129" ht="15.75" customHeight="1">
      <c r="A129" s="6" t="s">
        <v>286</v>
      </c>
      <c r="B129" s="6" t="s">
        <v>287</v>
      </c>
      <c r="C129" s="6" t="s">
        <v>57</v>
      </c>
      <c r="D129" s="6" t="s">
        <v>37</v>
      </c>
      <c r="E129" s="6">
        <v>6.0</v>
      </c>
      <c r="F129" s="9" t="str">
        <f t="array" ref="F129:I129">XLOOKUP(C129,DimJuegos[ID_Juego],DimJuegos[[Titulo]:[Precio_USD]])</f>
        <v>Urban Street Wear</v>
      </c>
      <c r="G129" s="9" t="s">
        <v>59</v>
      </c>
      <c r="H129" s="9" t="s">
        <v>60</v>
      </c>
      <c r="I129" s="10">
        <v>19.99</v>
      </c>
      <c r="J129" s="11">
        <f t="shared" si="1"/>
        <v>119.94</v>
      </c>
      <c r="K129" s="12">
        <f>J129*Instrucciones!$J$2</f>
        <v>35.982</v>
      </c>
      <c r="L129" s="11">
        <f t="shared" si="2"/>
        <v>83.958</v>
      </c>
      <c r="M129" s="9" t="str">
        <f t="shared" si="3"/>
        <v>Retail</v>
      </c>
    </row>
    <row r="130" ht="15.75" customHeight="1">
      <c r="A130" s="6" t="s">
        <v>288</v>
      </c>
      <c r="B130" s="6" t="s">
        <v>289</v>
      </c>
      <c r="C130" s="6" t="s">
        <v>38</v>
      </c>
      <c r="D130" s="6" t="s">
        <v>71</v>
      </c>
      <c r="E130" s="6">
        <v>95.0</v>
      </c>
      <c r="F130" s="9" t="str">
        <f t="array" ref="F130:I130">XLOOKUP(C130,DimJuegos[ID_Juego],DimJuegos[[Titulo]:[Precio_USD]])</f>
        <v>Hero's Academia Z</v>
      </c>
      <c r="G130" s="9" t="s">
        <v>40</v>
      </c>
      <c r="H130" s="9" t="s">
        <v>41</v>
      </c>
      <c r="I130" s="10">
        <v>59.99</v>
      </c>
      <c r="J130" s="11">
        <f t="shared" si="1"/>
        <v>5699.05</v>
      </c>
      <c r="K130" s="12">
        <f>J130*Instrucciones!$J$2</f>
        <v>1709.715</v>
      </c>
      <c r="L130" s="11">
        <f t="shared" si="2"/>
        <v>3989.335</v>
      </c>
      <c r="M130" s="9" t="str">
        <f t="shared" si="3"/>
        <v>Alto Volumen</v>
      </c>
    </row>
    <row r="131" ht="15.75" customHeight="1">
      <c r="A131" s="6" t="s">
        <v>290</v>
      </c>
      <c r="B131" s="6" t="s">
        <v>291</v>
      </c>
      <c r="C131" s="6" t="s">
        <v>61</v>
      </c>
      <c r="D131" s="6" t="s">
        <v>66</v>
      </c>
      <c r="E131" s="6">
        <v>34.0</v>
      </c>
      <c r="F131" s="9" t="str">
        <f t="array" ref="F131:I131">XLOOKUP(C131,DimJuegos[ID_Juego],DimJuegos[[Titulo]:[Precio_USD]])</f>
        <v>Chess Grandmaster</v>
      </c>
      <c r="G131" s="9" t="s">
        <v>63</v>
      </c>
      <c r="H131" s="9" t="s">
        <v>64</v>
      </c>
      <c r="I131" s="10">
        <v>9.99</v>
      </c>
      <c r="J131" s="11">
        <f t="shared" si="1"/>
        <v>339.66</v>
      </c>
      <c r="K131" s="12">
        <f>J131*Instrucciones!$J$2</f>
        <v>101.898</v>
      </c>
      <c r="L131" s="11">
        <f t="shared" si="2"/>
        <v>237.762</v>
      </c>
      <c r="M131" s="9" t="str">
        <f t="shared" si="3"/>
        <v>Retail</v>
      </c>
    </row>
    <row r="132" ht="15.75" customHeight="1">
      <c r="A132" s="6" t="s">
        <v>292</v>
      </c>
      <c r="B132" s="6" t="s">
        <v>291</v>
      </c>
      <c r="C132" s="6" t="s">
        <v>57</v>
      </c>
      <c r="D132" s="6" t="s">
        <v>69</v>
      </c>
      <c r="E132" s="6">
        <v>43.0</v>
      </c>
      <c r="F132" s="9" t="str">
        <f t="array" ref="F132:I132">XLOOKUP(C132,DimJuegos[ID_Juego],DimJuegos[[Titulo]:[Precio_USD]])</f>
        <v>Urban Street Wear</v>
      </c>
      <c r="G132" s="9" t="s">
        <v>59</v>
      </c>
      <c r="H132" s="9" t="s">
        <v>60</v>
      </c>
      <c r="I132" s="10">
        <v>19.99</v>
      </c>
      <c r="J132" s="11">
        <f t="shared" si="1"/>
        <v>859.57</v>
      </c>
      <c r="K132" s="12">
        <f>J132*Instrucciones!$J$2</f>
        <v>257.871</v>
      </c>
      <c r="L132" s="11">
        <f t="shared" si="2"/>
        <v>601.699</v>
      </c>
      <c r="M132" s="9" t="str">
        <f t="shared" si="3"/>
        <v>Retail</v>
      </c>
    </row>
    <row r="133" ht="15.75" customHeight="1">
      <c r="A133" s="6" t="s">
        <v>293</v>
      </c>
      <c r="B133" s="6" t="s">
        <v>294</v>
      </c>
      <c r="C133" s="6" t="s">
        <v>57</v>
      </c>
      <c r="D133" s="6" t="s">
        <v>66</v>
      </c>
      <c r="E133" s="6">
        <v>58.0</v>
      </c>
      <c r="F133" s="9" t="str">
        <f t="array" ref="F133:I133">XLOOKUP(C133,DimJuegos[ID_Juego],DimJuegos[[Titulo]:[Precio_USD]])</f>
        <v>Urban Street Wear</v>
      </c>
      <c r="G133" s="9" t="s">
        <v>59</v>
      </c>
      <c r="H133" s="9" t="s">
        <v>60</v>
      </c>
      <c r="I133" s="10">
        <v>19.99</v>
      </c>
      <c r="J133" s="11">
        <f t="shared" si="1"/>
        <v>1159.42</v>
      </c>
      <c r="K133" s="12">
        <f>J133*Instrucciones!$J$2</f>
        <v>347.826</v>
      </c>
      <c r="L133" s="11">
        <f t="shared" si="2"/>
        <v>811.594</v>
      </c>
      <c r="M133" s="9" t="str">
        <f t="shared" si="3"/>
        <v>Alto Volumen</v>
      </c>
    </row>
    <row r="134" ht="15.75" customHeight="1">
      <c r="A134" s="6" t="s">
        <v>295</v>
      </c>
      <c r="B134" s="6" t="s">
        <v>296</v>
      </c>
      <c r="C134" s="6" t="s">
        <v>38</v>
      </c>
      <c r="D134" s="6" t="s">
        <v>71</v>
      </c>
      <c r="E134" s="6">
        <v>52.0</v>
      </c>
      <c r="F134" s="9" t="str">
        <f t="array" ref="F134:I134">XLOOKUP(C134,DimJuegos[ID_Juego],DimJuegos[[Titulo]:[Precio_USD]])</f>
        <v>Hero's Academia Z</v>
      </c>
      <c r="G134" s="9" t="s">
        <v>40</v>
      </c>
      <c r="H134" s="9" t="s">
        <v>41</v>
      </c>
      <c r="I134" s="10">
        <v>59.99</v>
      </c>
      <c r="J134" s="11">
        <f t="shared" si="1"/>
        <v>3119.48</v>
      </c>
      <c r="K134" s="12">
        <f>J134*Instrucciones!$J$2</f>
        <v>935.844</v>
      </c>
      <c r="L134" s="11">
        <f t="shared" si="2"/>
        <v>2183.636</v>
      </c>
      <c r="M134" s="9" t="str">
        <f t="shared" si="3"/>
        <v>Alto Volumen</v>
      </c>
    </row>
    <row r="135" ht="15.75" customHeight="1">
      <c r="A135" s="6" t="s">
        <v>297</v>
      </c>
      <c r="B135" s="6" t="s">
        <v>298</v>
      </c>
      <c r="C135" s="6" t="s">
        <v>57</v>
      </c>
      <c r="D135" s="6" t="s">
        <v>37</v>
      </c>
      <c r="E135" s="6">
        <v>55.0</v>
      </c>
      <c r="F135" s="9" t="str">
        <f t="array" ref="F135:I135">XLOOKUP(C135,DimJuegos[ID_Juego],DimJuegos[[Titulo]:[Precio_USD]])</f>
        <v>Urban Street Wear</v>
      </c>
      <c r="G135" s="9" t="s">
        <v>59</v>
      </c>
      <c r="H135" s="9" t="s">
        <v>60</v>
      </c>
      <c r="I135" s="10">
        <v>19.99</v>
      </c>
      <c r="J135" s="11">
        <f t="shared" si="1"/>
        <v>1099.45</v>
      </c>
      <c r="K135" s="12">
        <f>J135*Instrucciones!$J$2</f>
        <v>329.835</v>
      </c>
      <c r="L135" s="11">
        <f t="shared" si="2"/>
        <v>769.615</v>
      </c>
      <c r="M135" s="9" t="str">
        <f t="shared" si="3"/>
        <v>Alto Volumen</v>
      </c>
    </row>
    <row r="136" ht="15.75" customHeight="1">
      <c r="A136" s="6" t="s">
        <v>299</v>
      </c>
      <c r="B136" s="6" t="s">
        <v>300</v>
      </c>
      <c r="C136" s="6" t="s">
        <v>53</v>
      </c>
      <c r="D136" s="6" t="s">
        <v>71</v>
      </c>
      <c r="E136" s="6">
        <v>97.0</v>
      </c>
      <c r="F136" s="9" t="str">
        <f t="array" ref="F136:I136">XLOOKUP(C136,DimJuegos[ID_Juego],DimJuegos[[Titulo]:[Precio_USD]])</f>
        <v>Dark Swordsman</v>
      </c>
      <c r="G136" s="9" t="s">
        <v>55</v>
      </c>
      <c r="H136" s="9" t="s">
        <v>56</v>
      </c>
      <c r="I136" s="10">
        <v>39.99</v>
      </c>
      <c r="J136" s="11">
        <f t="shared" si="1"/>
        <v>3879.03</v>
      </c>
      <c r="K136" s="12">
        <f>J136*Instrucciones!$J$2</f>
        <v>1163.709</v>
      </c>
      <c r="L136" s="11">
        <f t="shared" si="2"/>
        <v>2715.321</v>
      </c>
      <c r="M136" s="9" t="str">
        <f t="shared" si="3"/>
        <v>Alto Volumen</v>
      </c>
    </row>
    <row r="137" ht="15.75" customHeight="1">
      <c r="A137" s="6" t="s">
        <v>301</v>
      </c>
      <c r="B137" s="6" t="s">
        <v>300</v>
      </c>
      <c r="C137" s="6" t="s">
        <v>38</v>
      </c>
      <c r="D137" s="6" t="s">
        <v>66</v>
      </c>
      <c r="E137" s="6">
        <v>34.0</v>
      </c>
      <c r="F137" s="9" t="str">
        <f t="array" ref="F137:I137">XLOOKUP(C137,DimJuegos[ID_Juego],DimJuegos[[Titulo]:[Precio_USD]])</f>
        <v>Hero's Academia Z</v>
      </c>
      <c r="G137" s="9" t="s">
        <v>40</v>
      </c>
      <c r="H137" s="9" t="s">
        <v>41</v>
      </c>
      <c r="I137" s="10">
        <v>59.99</v>
      </c>
      <c r="J137" s="11">
        <f t="shared" si="1"/>
        <v>2039.66</v>
      </c>
      <c r="K137" s="12">
        <f>J137*Instrucciones!$J$2</f>
        <v>611.898</v>
      </c>
      <c r="L137" s="11">
        <f t="shared" si="2"/>
        <v>1427.762</v>
      </c>
      <c r="M137" s="9" t="str">
        <f t="shared" si="3"/>
        <v>Retail</v>
      </c>
    </row>
    <row r="138" ht="15.75" customHeight="1">
      <c r="A138" s="6" t="s">
        <v>302</v>
      </c>
      <c r="B138" s="6" t="s">
        <v>300</v>
      </c>
      <c r="C138" s="6" t="s">
        <v>38</v>
      </c>
      <c r="D138" s="6" t="s">
        <v>37</v>
      </c>
      <c r="E138" s="6">
        <v>65.0</v>
      </c>
      <c r="F138" s="9" t="str">
        <f t="array" ref="F138:I138">XLOOKUP(C138,DimJuegos[ID_Juego],DimJuegos[[Titulo]:[Precio_USD]])</f>
        <v>Hero's Academia Z</v>
      </c>
      <c r="G138" s="9" t="s">
        <v>40</v>
      </c>
      <c r="H138" s="9" t="s">
        <v>41</v>
      </c>
      <c r="I138" s="10">
        <v>59.99</v>
      </c>
      <c r="J138" s="11">
        <f t="shared" si="1"/>
        <v>3899.35</v>
      </c>
      <c r="K138" s="12">
        <f>J138*Instrucciones!$J$2</f>
        <v>1169.805</v>
      </c>
      <c r="L138" s="11">
        <f t="shared" si="2"/>
        <v>2729.545</v>
      </c>
      <c r="M138" s="9" t="str">
        <f t="shared" si="3"/>
        <v>Alto Volumen</v>
      </c>
    </row>
    <row r="139" ht="15.75" customHeight="1">
      <c r="A139" s="6" t="s">
        <v>303</v>
      </c>
      <c r="B139" s="6" t="s">
        <v>300</v>
      </c>
      <c r="C139" s="6" t="s">
        <v>46</v>
      </c>
      <c r="D139" s="6" t="s">
        <v>37</v>
      </c>
      <c r="E139" s="6">
        <v>11.0</v>
      </c>
      <c r="F139" s="9" t="str">
        <f t="array" ref="F139:I139">XLOOKUP(C139,DimJuegos[ID_Juego],DimJuegos[[Titulo]:[Precio_USD]])</f>
        <v>Speed Moto 250z</v>
      </c>
      <c r="G139" s="9" t="s">
        <v>48</v>
      </c>
      <c r="H139" s="9" t="s">
        <v>49</v>
      </c>
      <c r="I139" s="10">
        <v>29.99</v>
      </c>
      <c r="J139" s="11">
        <f t="shared" si="1"/>
        <v>329.89</v>
      </c>
      <c r="K139" s="12">
        <f>J139*Instrucciones!$J$2</f>
        <v>98.967</v>
      </c>
      <c r="L139" s="11">
        <f t="shared" si="2"/>
        <v>230.923</v>
      </c>
      <c r="M139" s="9" t="str">
        <f t="shared" si="3"/>
        <v>Retail</v>
      </c>
    </row>
    <row r="140" ht="15.75" customHeight="1">
      <c r="A140" s="6" t="s">
        <v>304</v>
      </c>
      <c r="B140" s="6" t="s">
        <v>305</v>
      </c>
      <c r="C140" s="6" t="s">
        <v>53</v>
      </c>
      <c r="D140" s="6" t="s">
        <v>66</v>
      </c>
      <c r="E140" s="6">
        <v>34.0</v>
      </c>
      <c r="F140" s="9" t="str">
        <f t="array" ref="F140:I140">XLOOKUP(C140,DimJuegos[ID_Juego],DimJuegos[[Titulo]:[Precio_USD]])</f>
        <v>Dark Swordsman</v>
      </c>
      <c r="G140" s="9" t="s">
        <v>55</v>
      </c>
      <c r="H140" s="9" t="s">
        <v>56</v>
      </c>
      <c r="I140" s="10">
        <v>39.99</v>
      </c>
      <c r="J140" s="11">
        <f t="shared" si="1"/>
        <v>1359.66</v>
      </c>
      <c r="K140" s="12">
        <f>J140*Instrucciones!$J$2</f>
        <v>407.898</v>
      </c>
      <c r="L140" s="11">
        <f t="shared" si="2"/>
        <v>951.762</v>
      </c>
      <c r="M140" s="9" t="str">
        <f t="shared" si="3"/>
        <v>Retail</v>
      </c>
    </row>
    <row r="141" ht="15.75" customHeight="1">
      <c r="A141" s="6" t="s">
        <v>306</v>
      </c>
      <c r="B141" s="6" t="s">
        <v>305</v>
      </c>
      <c r="C141" s="6" t="s">
        <v>53</v>
      </c>
      <c r="D141" s="6" t="s">
        <v>70</v>
      </c>
      <c r="E141" s="6">
        <v>67.0</v>
      </c>
      <c r="F141" s="9" t="str">
        <f t="array" ref="F141:I141">XLOOKUP(C141,DimJuegos[ID_Juego],DimJuegos[[Titulo]:[Precio_USD]])</f>
        <v>Dark Swordsman</v>
      </c>
      <c r="G141" s="9" t="s">
        <v>55</v>
      </c>
      <c r="H141" s="9" t="s">
        <v>56</v>
      </c>
      <c r="I141" s="10">
        <v>39.99</v>
      </c>
      <c r="J141" s="11">
        <f t="shared" si="1"/>
        <v>2679.33</v>
      </c>
      <c r="K141" s="12">
        <f>J141*Instrucciones!$J$2</f>
        <v>803.799</v>
      </c>
      <c r="L141" s="11">
        <f t="shared" si="2"/>
        <v>1875.531</v>
      </c>
      <c r="M141" s="9" t="str">
        <f t="shared" si="3"/>
        <v>Alto Volumen</v>
      </c>
    </row>
    <row r="142" ht="15.75" customHeight="1">
      <c r="A142" s="6" t="s">
        <v>307</v>
      </c>
      <c r="B142" s="6" t="s">
        <v>308</v>
      </c>
      <c r="C142" s="6" t="s">
        <v>46</v>
      </c>
      <c r="D142" s="6" t="s">
        <v>70</v>
      </c>
      <c r="E142" s="6">
        <v>16.0</v>
      </c>
      <c r="F142" s="9" t="str">
        <f t="array" ref="F142:I142">XLOOKUP(C142,DimJuegos[ID_Juego],DimJuegos[[Titulo]:[Precio_USD]])</f>
        <v>Speed Moto 250z</v>
      </c>
      <c r="G142" s="9" t="s">
        <v>48</v>
      </c>
      <c r="H142" s="9" t="s">
        <v>49</v>
      </c>
      <c r="I142" s="10">
        <v>29.99</v>
      </c>
      <c r="J142" s="11">
        <f t="shared" si="1"/>
        <v>479.84</v>
      </c>
      <c r="K142" s="12">
        <f>J142*Instrucciones!$J$2</f>
        <v>143.952</v>
      </c>
      <c r="L142" s="11">
        <f t="shared" si="2"/>
        <v>335.888</v>
      </c>
      <c r="M142" s="9" t="str">
        <f t="shared" si="3"/>
        <v>Retail</v>
      </c>
    </row>
    <row r="143" ht="15.75" customHeight="1">
      <c r="A143" s="6" t="s">
        <v>309</v>
      </c>
      <c r="B143" s="6" t="s">
        <v>310</v>
      </c>
      <c r="C143" s="6" t="s">
        <v>38</v>
      </c>
      <c r="D143" s="6" t="s">
        <v>69</v>
      </c>
      <c r="E143" s="6">
        <v>97.0</v>
      </c>
      <c r="F143" s="9" t="str">
        <f t="array" ref="F143:I143">XLOOKUP(C143,DimJuegos[ID_Juego],DimJuegos[[Titulo]:[Precio_USD]])</f>
        <v>Hero's Academia Z</v>
      </c>
      <c r="G143" s="9" t="s">
        <v>40</v>
      </c>
      <c r="H143" s="9" t="s">
        <v>41</v>
      </c>
      <c r="I143" s="10">
        <v>59.99</v>
      </c>
      <c r="J143" s="11">
        <f t="shared" si="1"/>
        <v>5819.03</v>
      </c>
      <c r="K143" s="12">
        <f>J143*Instrucciones!$J$2</f>
        <v>1745.709</v>
      </c>
      <c r="L143" s="11">
        <f t="shared" si="2"/>
        <v>4073.321</v>
      </c>
      <c r="M143" s="9" t="str">
        <f t="shared" si="3"/>
        <v>Alto Volumen</v>
      </c>
    </row>
    <row r="144" ht="15.75" customHeight="1">
      <c r="A144" s="6" t="s">
        <v>311</v>
      </c>
      <c r="B144" s="6" t="s">
        <v>310</v>
      </c>
      <c r="C144" s="6" t="s">
        <v>38</v>
      </c>
      <c r="D144" s="6" t="s">
        <v>69</v>
      </c>
      <c r="E144" s="6">
        <v>82.0</v>
      </c>
      <c r="F144" s="9" t="str">
        <f t="array" ref="F144:I144">XLOOKUP(C144,DimJuegos[ID_Juego],DimJuegos[[Titulo]:[Precio_USD]])</f>
        <v>Hero's Academia Z</v>
      </c>
      <c r="G144" s="9" t="s">
        <v>40</v>
      </c>
      <c r="H144" s="9" t="s">
        <v>41</v>
      </c>
      <c r="I144" s="10">
        <v>59.99</v>
      </c>
      <c r="J144" s="11">
        <f t="shared" si="1"/>
        <v>4919.18</v>
      </c>
      <c r="K144" s="12">
        <f>J144*Instrucciones!$J$2</f>
        <v>1475.754</v>
      </c>
      <c r="L144" s="11">
        <f t="shared" si="2"/>
        <v>3443.426</v>
      </c>
      <c r="M144" s="9" t="str">
        <f t="shared" si="3"/>
        <v>Alto Volumen</v>
      </c>
    </row>
    <row r="145" ht="15.75" customHeight="1">
      <c r="A145" s="6" t="s">
        <v>312</v>
      </c>
      <c r="B145" s="6" t="s">
        <v>313</v>
      </c>
      <c r="C145" s="6" t="s">
        <v>53</v>
      </c>
      <c r="D145" s="6" t="s">
        <v>71</v>
      </c>
      <c r="E145" s="6">
        <v>30.0</v>
      </c>
      <c r="F145" s="9" t="str">
        <f t="array" ref="F145:I145">XLOOKUP(C145,DimJuegos[ID_Juego],DimJuegos[[Titulo]:[Precio_USD]])</f>
        <v>Dark Swordsman</v>
      </c>
      <c r="G145" s="9" t="s">
        <v>55</v>
      </c>
      <c r="H145" s="9" t="s">
        <v>56</v>
      </c>
      <c r="I145" s="10">
        <v>39.99</v>
      </c>
      <c r="J145" s="11">
        <f t="shared" si="1"/>
        <v>1199.7</v>
      </c>
      <c r="K145" s="12">
        <f>J145*Instrucciones!$J$2</f>
        <v>359.91</v>
      </c>
      <c r="L145" s="11">
        <f t="shared" si="2"/>
        <v>839.79</v>
      </c>
      <c r="M145" s="9" t="str">
        <f t="shared" si="3"/>
        <v>Retail</v>
      </c>
    </row>
    <row r="146" ht="15.75" customHeight="1">
      <c r="A146" s="6" t="s">
        <v>314</v>
      </c>
      <c r="B146" s="6" t="s">
        <v>315</v>
      </c>
      <c r="C146" s="6" t="s">
        <v>24</v>
      </c>
      <c r="D146" s="6" t="s">
        <v>71</v>
      </c>
      <c r="E146" s="6">
        <v>100.0</v>
      </c>
      <c r="F146" s="9" t="str">
        <f t="array" ref="F146:I146">XLOOKUP(C146,DimJuegos[ID_Juego],DimJuegos[[Titulo]:[Precio_USD]])</f>
        <v>Eco's Adventure</v>
      </c>
      <c r="G146" s="9" t="s">
        <v>31</v>
      </c>
      <c r="H146" s="9" t="s">
        <v>32</v>
      </c>
      <c r="I146" s="10">
        <v>15.0</v>
      </c>
      <c r="J146" s="11">
        <f t="shared" si="1"/>
        <v>1500</v>
      </c>
      <c r="K146" s="12">
        <f>J146*Instrucciones!$J$2</f>
        <v>450</v>
      </c>
      <c r="L146" s="11">
        <f t="shared" si="2"/>
        <v>1050</v>
      </c>
      <c r="M146" s="9" t="str">
        <f t="shared" si="3"/>
        <v>Alto Volumen</v>
      </c>
    </row>
    <row r="147" ht="15.75" customHeight="1">
      <c r="A147" s="6" t="s">
        <v>316</v>
      </c>
      <c r="B147" s="6" t="s">
        <v>315</v>
      </c>
      <c r="C147" s="6" t="s">
        <v>46</v>
      </c>
      <c r="D147" s="6" t="s">
        <v>37</v>
      </c>
      <c r="E147" s="6">
        <v>52.0</v>
      </c>
      <c r="F147" s="9" t="str">
        <f t="array" ref="F147:I147">XLOOKUP(C147,DimJuegos[ID_Juego],DimJuegos[[Titulo]:[Precio_USD]])</f>
        <v>Speed Moto 250z</v>
      </c>
      <c r="G147" s="9" t="s">
        <v>48</v>
      </c>
      <c r="H147" s="9" t="s">
        <v>49</v>
      </c>
      <c r="I147" s="10">
        <v>29.99</v>
      </c>
      <c r="J147" s="11">
        <f t="shared" si="1"/>
        <v>1559.48</v>
      </c>
      <c r="K147" s="12">
        <f>J147*Instrucciones!$J$2</f>
        <v>467.844</v>
      </c>
      <c r="L147" s="11">
        <f t="shared" si="2"/>
        <v>1091.636</v>
      </c>
      <c r="M147" s="9" t="str">
        <f t="shared" si="3"/>
        <v>Alto Volumen</v>
      </c>
    </row>
    <row r="148" ht="15.75" customHeight="1">
      <c r="A148" s="6" t="s">
        <v>317</v>
      </c>
      <c r="B148" s="6" t="s">
        <v>318</v>
      </c>
      <c r="C148" s="6" t="s">
        <v>42</v>
      </c>
      <c r="D148" s="6" t="s">
        <v>66</v>
      </c>
      <c r="E148" s="6">
        <v>9.0</v>
      </c>
      <c r="F148" s="9" t="str">
        <f t="array" ref="F148:I148">XLOOKUP(C148,DimJuegos[ID_Juego],DimJuegos[[Titulo]:[Precio_USD]])</f>
        <v>Pirate King Quest</v>
      </c>
      <c r="G148" s="9" t="s">
        <v>44</v>
      </c>
      <c r="H148" s="9" t="s">
        <v>45</v>
      </c>
      <c r="I148" s="10">
        <v>49.99</v>
      </c>
      <c r="J148" s="11">
        <f t="shared" si="1"/>
        <v>449.91</v>
      </c>
      <c r="K148" s="12">
        <f>J148*Instrucciones!$J$2</f>
        <v>134.973</v>
      </c>
      <c r="L148" s="11">
        <f t="shared" si="2"/>
        <v>314.937</v>
      </c>
      <c r="M148" s="9" t="str">
        <f t="shared" si="3"/>
        <v>Retail</v>
      </c>
    </row>
    <row r="149" ht="15.75" customHeight="1">
      <c r="A149" s="6" t="s">
        <v>319</v>
      </c>
      <c r="B149" s="6" t="s">
        <v>320</v>
      </c>
      <c r="C149" s="6" t="s">
        <v>61</v>
      </c>
      <c r="D149" s="6" t="s">
        <v>66</v>
      </c>
      <c r="E149" s="6">
        <v>25.0</v>
      </c>
      <c r="F149" s="9" t="str">
        <f t="array" ref="F149:I149">XLOOKUP(C149,DimJuegos[ID_Juego],DimJuegos[[Titulo]:[Precio_USD]])</f>
        <v>Chess Grandmaster</v>
      </c>
      <c r="G149" s="9" t="s">
        <v>63</v>
      </c>
      <c r="H149" s="9" t="s">
        <v>64</v>
      </c>
      <c r="I149" s="10">
        <v>9.99</v>
      </c>
      <c r="J149" s="11">
        <f t="shared" si="1"/>
        <v>249.75</v>
      </c>
      <c r="K149" s="12">
        <f>J149*Instrucciones!$J$2</f>
        <v>74.925</v>
      </c>
      <c r="L149" s="11">
        <f t="shared" si="2"/>
        <v>174.825</v>
      </c>
      <c r="M149" s="9" t="str">
        <f t="shared" si="3"/>
        <v>Retail</v>
      </c>
    </row>
    <row r="150" ht="15.75" customHeight="1">
      <c r="A150" s="6" t="s">
        <v>321</v>
      </c>
      <c r="B150" s="6" t="s">
        <v>320</v>
      </c>
      <c r="C150" s="6" t="s">
        <v>36</v>
      </c>
      <c r="D150" s="6" t="s">
        <v>69</v>
      </c>
      <c r="E150" s="6">
        <v>17.0</v>
      </c>
      <c r="F150" s="9" t="str">
        <f t="array" ref="F150:I150">XLOOKUP(C150,DimJuegos[ID_Juego],DimJuegos[[Titulo]:[Precio_USD]])</f>
        <v>Soccer Lock 2027</v>
      </c>
      <c r="G150" s="9" t="s">
        <v>51</v>
      </c>
      <c r="H150" s="9" t="s">
        <v>52</v>
      </c>
      <c r="I150" s="10">
        <v>69.99</v>
      </c>
      <c r="J150" s="11">
        <f t="shared" si="1"/>
        <v>1189.83</v>
      </c>
      <c r="K150" s="12">
        <f>J150*Instrucciones!$J$2</f>
        <v>356.949</v>
      </c>
      <c r="L150" s="11">
        <f t="shared" si="2"/>
        <v>832.881</v>
      </c>
      <c r="M150" s="9" t="str">
        <f t="shared" si="3"/>
        <v>Retail</v>
      </c>
    </row>
    <row r="151" ht="15.75" customHeight="1">
      <c r="A151" s="6" t="s">
        <v>322</v>
      </c>
      <c r="B151" s="6" t="s">
        <v>323</v>
      </c>
      <c r="C151" s="6" t="s">
        <v>57</v>
      </c>
      <c r="D151" s="6" t="s">
        <v>69</v>
      </c>
      <c r="E151" s="6">
        <v>2.0</v>
      </c>
      <c r="F151" s="9" t="str">
        <f t="array" ref="F151:I151">XLOOKUP(C151,DimJuegos[ID_Juego],DimJuegos[[Titulo]:[Precio_USD]])</f>
        <v>Urban Street Wear</v>
      </c>
      <c r="G151" s="9" t="s">
        <v>59</v>
      </c>
      <c r="H151" s="9" t="s">
        <v>60</v>
      </c>
      <c r="I151" s="10">
        <v>19.99</v>
      </c>
      <c r="J151" s="11">
        <f t="shared" si="1"/>
        <v>39.98</v>
      </c>
      <c r="K151" s="12">
        <f>J151*Instrucciones!$J$2</f>
        <v>11.994</v>
      </c>
      <c r="L151" s="11">
        <f t="shared" si="2"/>
        <v>27.986</v>
      </c>
      <c r="M151" s="9" t="str">
        <f t="shared" si="3"/>
        <v>Retail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7B89CC1-5B9A-4DC7-B0AE-8705D8B5B9D9}" filter="1" showAutoFilter="1">
      <autoFilter ref="$A$1:$M$151"/>
    </customSheetView>
  </customSheetViews>
  <dataValidations>
    <dataValidation type="custom" allowBlank="1" showDropDown="1" sqref="J2:K151">
      <formula1>AND(ISNUMBER(J2),(NOT(OR(NOT(ISERROR(DATEVALUE(J2))), AND(ISNUMBER(J2), LEFT(CELL("format", J2))="D")))))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