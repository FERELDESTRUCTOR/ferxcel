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Catálogo" sheetId="2" r:id="rId6"/>
    <sheet state="visible" name="Ventas" sheetId="3" r:id="rId7"/>
    <sheet state="visible" name="Tabla dinámica 1" sheetId="4" r:id="rId8"/>
  </sheets>
  <definedNames>
    <definedName hidden="1" localSheetId="1" name="Z_FA627CEC_FACA_4C66_BC98_B1F2FE6DE79D_.wvu.FilterData">'Catálogo'!$A$1:$E$9</definedName>
    <definedName hidden="1" localSheetId="2" name="Z_96C2B8FB_2C2A_4D32_83CB_8CF463165E51_.wvu.FilterData">Ventas!$A$1:$O$201</definedName>
  </definedNames>
  <calcPr/>
  <customWorkbookViews>
    <customWorkbookView activeSheetId="0" maximized="1" windowHeight="0" windowWidth="0" guid="{FA627CEC-FACA-4C66-BC98-B1F2FE6DE79D}" name="DimProductos filter view"/>
    <customWorkbookView activeSheetId="0" maximized="1" windowHeight="0" windowWidth="0" guid="{96C2B8FB-2C2A-4D32-83CB-8CF463165E51}" name="FactVentas filter view"/>
  </customWorkbookViews>
  <pivotCaches>
    <pivotCache cacheId="0" r:id="rId9"/>
  </pivotCaches>
</workbook>
</file>

<file path=xl/sharedStrings.xml><?xml version="1.0" encoding="utf-8"?>
<sst xmlns="http://schemas.openxmlformats.org/spreadsheetml/2006/main" count="1284" uniqueCount="290">
  <si>
    <t>RETO PRÁCTICO: ANÁLISIS DE RENTABILIDAD TECH RETAIL</t>
  </si>
  <si>
    <t>Tasa Comisión T.C.:</t>
  </si>
  <si>
    <t>Objetivo: Estructurar, desnormalizar y analizar el reporte de ventas sin asistencia de fórmulas.</t>
  </si>
  <si>
    <t>REQUERIMIENTOS TÉCNICOS:</t>
  </si>
  <si>
    <t>1. Formato y Estructura: Convierte las hojas 'Catálogo' y 'Ventas' en Tablas de Excel formales nombradas 'DimProductos' y 'FactVentas'.</t>
  </si>
  <si>
    <t>2. Desnormalización: En 'FactVentas', trae 'Producto', 'Categoria', 'Costo_Unitario' y 'Precio_Lista' desde el catálogo en una sola operación de búsqueda.</t>
  </si>
  <si>
    <t>3. Métricas Financieras Base:</t>
  </si>
  <si>
    <t xml:space="preserve">   - Crea la columna 'Ingreso_Bruto' (Cantidad * Precio_Lista).</t>
  </si>
  <si>
    <t xml:space="preserve">   - Crea la columna 'Costo_Total' (Cantidad * Costo_Unitario).</t>
  </si>
  <si>
    <t>4. Deducción Operativa:</t>
  </si>
  <si>
    <t xml:space="preserve">   - En 'FactVentas', crea la columna 'Comision_Bancaria'.</t>
  </si>
  <si>
    <t xml:space="preserve">   - Aplica la tasa de comisión ubicada en Instrucciones!J2 (fijando la celda) ÚNICAMENTE a los pagos con 'Tarjeta de Crédito'.</t>
  </si>
  <si>
    <t xml:space="preserve">   - Para cualquier otro método de pago, el valor debe ser 0.</t>
  </si>
  <si>
    <t>5. Margen Operativo:</t>
  </si>
  <si>
    <t xml:space="preserve">   - Crea la columna 'Utilidad_Operativa' (Ingreso_Bruto - Costo_Total - Comision_Bancaria).</t>
  </si>
  <si>
    <t>6. Segmentación Lógica:</t>
  </si>
  <si>
    <t xml:space="preserve">   - Crea la columna 'Clasificacion_Ticket'.</t>
  </si>
  <si>
    <t xml:space="preserve">   - Si la Utilidad_Operativa es estrictamente mayor a $1,500, clasifícalo como 'Ticket Alto Valor'. Caso contrario, 'Ticket Estándar'.</t>
  </si>
  <si>
    <t>7. Agregaciones:</t>
  </si>
  <si>
    <t xml:space="preserve">   - a) Determina el total de TICKETS cobrados mediante 'Transferencia'.</t>
  </si>
  <si>
    <t xml:space="preserve">   - b) Determina el total de UTILIDAD OPERATIVA generada por la categoría 'Laptops'.</t>
  </si>
  <si>
    <t>8. Visualización &amp; BI:</t>
  </si>
  <si>
    <t xml:space="preserve">   - Genera una Tabla Dinámica en una nueva hoja: 'Utilidad_Operativa' por 'Sucursal' (Filas) y 'Categoria' (Columnas).</t>
  </si>
  <si>
    <t xml:space="preserve">   - Inserta un Gráfico de Columnas Agrupadas: elimina líneas de cuadrícula, oculta botones de campo y añade etiquetas de datos directas.</t>
  </si>
  <si>
    <t>ID_Producto</t>
  </si>
  <si>
    <t>ID_Ticket</t>
  </si>
  <si>
    <t>Producto</t>
  </si>
  <si>
    <t>Fecha</t>
  </si>
  <si>
    <t>Categoria</t>
  </si>
  <si>
    <t>Costo_Unitario</t>
  </si>
  <si>
    <t>Sucursal</t>
  </si>
  <si>
    <t>Precio_Lista</t>
  </si>
  <si>
    <t>Metodo_Pago</t>
  </si>
  <si>
    <t>T-101</t>
  </si>
  <si>
    <t>Cantidad</t>
  </si>
  <si>
    <t>Monitor Curvo 27"</t>
  </si>
  <si>
    <t>Monitores</t>
  </si>
  <si>
    <t>Costo</t>
  </si>
  <si>
    <t>Precio de lista</t>
  </si>
  <si>
    <t>Ingreso Bruto</t>
  </si>
  <si>
    <t>T-102</t>
  </si>
  <si>
    <t>Teclado Mecánico RGB</t>
  </si>
  <si>
    <t>Costo total</t>
  </si>
  <si>
    <t>Accesorios</t>
  </si>
  <si>
    <t>Comision Bancaria</t>
  </si>
  <si>
    <t>Utilidad operativa</t>
  </si>
  <si>
    <t>T-103</t>
  </si>
  <si>
    <t>Mouse Inalámbrico Pro</t>
  </si>
  <si>
    <t>Clasificacion ticket</t>
  </si>
  <si>
    <t>Tickets transferencia</t>
  </si>
  <si>
    <t>Utilidad Operativa</t>
  </si>
  <si>
    <t>TK-8032</t>
  </si>
  <si>
    <t>T-104</t>
  </si>
  <si>
    <t>2026-08-01</t>
  </si>
  <si>
    <t>Laptop Gamer 16GB</t>
  </si>
  <si>
    <t>T-107</t>
  </si>
  <si>
    <t>Laptops</t>
  </si>
  <si>
    <t>Sucursal Sur</t>
  </si>
  <si>
    <t>Transferencia</t>
  </si>
  <si>
    <t>T-105</t>
  </si>
  <si>
    <t>Laptop Ultrabook 14"</t>
  </si>
  <si>
    <t>T-106</t>
  </si>
  <si>
    <t>Auriculares Noise Cancelling</t>
  </si>
  <si>
    <t>Audio</t>
  </si>
  <si>
    <t>Micrófono USB Studio</t>
  </si>
  <si>
    <t>T-108</t>
  </si>
  <si>
    <t>Silla Ergonómica Pro</t>
  </si>
  <si>
    <t>Mobiliario</t>
  </si>
  <si>
    <t>TK-8101</t>
  </si>
  <si>
    <t>Sucursal Poniente</t>
  </si>
  <si>
    <t>Efectivo</t>
  </si>
  <si>
    <t>TK-8102</t>
  </si>
  <si>
    <t>Sucursal Norte</t>
  </si>
  <si>
    <t>Tarjeta de Débito</t>
  </si>
  <si>
    <t>TK-8107</t>
  </si>
  <si>
    <t>TK-8034</t>
  </si>
  <si>
    <t>SUM de Utilidad operativa</t>
  </si>
  <si>
    <t>Tarjeta de Crédito</t>
  </si>
  <si>
    <t>Suma total</t>
  </si>
  <si>
    <t>Centro</t>
  </si>
  <si>
    <t>TK-8160</t>
  </si>
  <si>
    <t>TK-8168</t>
  </si>
  <si>
    <t>TK-8018</t>
  </si>
  <si>
    <t>TK-8186</t>
  </si>
  <si>
    <t>TK-8094</t>
  </si>
  <si>
    <t>TK-8005</t>
  </si>
  <si>
    <t>TK-8192</t>
  </si>
  <si>
    <t>TK-8087</t>
  </si>
  <si>
    <t>2026-08-02</t>
  </si>
  <si>
    <t>TK-8066</t>
  </si>
  <si>
    <t>TK-8035</t>
  </si>
  <si>
    <t>TK-8029</t>
  </si>
  <si>
    <t>TK-8193</t>
  </si>
  <si>
    <t>TK-8022</t>
  </si>
  <si>
    <t>TK-8105</t>
  </si>
  <si>
    <t>TK-8067</t>
  </si>
  <si>
    <t>TK-8077</t>
  </si>
  <si>
    <t>TK-8082</t>
  </si>
  <si>
    <t>TK-8062</t>
  </si>
  <si>
    <t>2026-08-03</t>
  </si>
  <si>
    <t>TK-8012</t>
  </si>
  <si>
    <t>TK-8086</t>
  </si>
  <si>
    <t>TK-8124</t>
  </si>
  <si>
    <t>TK-8121</t>
  </si>
  <si>
    <t>TK-8036</t>
  </si>
  <si>
    <t>TK-8191</t>
  </si>
  <si>
    <t>TK-8185</t>
  </si>
  <si>
    <t>TK-8119</t>
  </si>
  <si>
    <t>TK-8001</t>
  </si>
  <si>
    <t>TK-8030</t>
  </si>
  <si>
    <t>TK-8116</t>
  </si>
  <si>
    <t>TK-8054</t>
  </si>
  <si>
    <t>TK-8180</t>
  </si>
  <si>
    <t>TK-8006</t>
  </si>
  <si>
    <t>TK-8196</t>
  </si>
  <si>
    <t>TK-8031</t>
  </si>
  <si>
    <t>TK-8099</t>
  </si>
  <si>
    <t>2026-08-04</t>
  </si>
  <si>
    <t>TK-8134</t>
  </si>
  <si>
    <t>TK-8120</t>
  </si>
  <si>
    <t>TK-8106</t>
  </si>
  <si>
    <t>TK-8146</t>
  </si>
  <si>
    <t>TK-8068</t>
  </si>
  <si>
    <t>TK-8039</t>
  </si>
  <si>
    <t>TK-8145</t>
  </si>
  <si>
    <t>TK-8076</t>
  </si>
  <si>
    <t>TK-8085</t>
  </si>
  <si>
    <t>TK-8179</t>
  </si>
  <si>
    <t>TK-8008</t>
  </si>
  <si>
    <t>TK-8084</t>
  </si>
  <si>
    <t>TK-8182</t>
  </si>
  <si>
    <t>2026-08-05</t>
  </si>
  <si>
    <t>TK-8155</t>
  </si>
  <si>
    <t>TK-8152</t>
  </si>
  <si>
    <t>TK-8139</t>
  </si>
  <si>
    <t>TK-8053</t>
  </si>
  <si>
    <t>TK-8028</t>
  </si>
  <si>
    <t>TK-8129</t>
  </si>
  <si>
    <t>TK-8055</t>
  </si>
  <si>
    <t>TK-8011</t>
  </si>
  <si>
    <t>TK-8074</t>
  </si>
  <si>
    <t>2026-08-06</t>
  </si>
  <si>
    <t>TK-8071</t>
  </si>
  <si>
    <t>TK-8143</t>
  </si>
  <si>
    <t>TK-8113</t>
  </si>
  <si>
    <t>TK-8136</t>
  </si>
  <si>
    <t>TK-8081</t>
  </si>
  <si>
    <t>TK-8169</t>
  </si>
  <si>
    <t>TK-8002</t>
  </si>
  <si>
    <t>TK-8098</t>
  </si>
  <si>
    <t>TK-8080</t>
  </si>
  <si>
    <t>TK-8132</t>
  </si>
  <si>
    <t>2026-08-07</t>
  </si>
  <si>
    <t>TK-8142</t>
  </si>
  <si>
    <t>TK-8147</t>
  </si>
  <si>
    <t>TK-8151</t>
  </si>
  <si>
    <t>TK-8083</t>
  </si>
  <si>
    <t>TK-8175</t>
  </si>
  <si>
    <t>TK-8178</t>
  </si>
  <si>
    <t>TK-8190</t>
  </si>
  <si>
    <t>TK-8200</t>
  </si>
  <si>
    <t>TK-8024</t>
  </si>
  <si>
    <t>TK-8049</t>
  </si>
  <si>
    <t>TK-8070</t>
  </si>
  <si>
    <t>TK-8069</t>
  </si>
  <si>
    <t>TK-8009</t>
  </si>
  <si>
    <t>TK-8020</t>
  </si>
  <si>
    <t>TK-8078</t>
  </si>
  <si>
    <t>2026-08-08</t>
  </si>
  <si>
    <t>TK-8123</t>
  </si>
  <si>
    <t>TK-8125</t>
  </si>
  <si>
    <t>TK-8189</t>
  </si>
  <si>
    <t>TK-8010</t>
  </si>
  <si>
    <t>TK-8127</t>
  </si>
  <si>
    <t>TK-8061</t>
  </si>
  <si>
    <t>TK-8017</t>
  </si>
  <si>
    <t>TK-8097</t>
  </si>
  <si>
    <t>TK-8095</t>
  </si>
  <si>
    <t>TK-8045</t>
  </si>
  <si>
    <t>TK-8133</t>
  </si>
  <si>
    <t>TK-8135</t>
  </si>
  <si>
    <t>TK-8171</t>
  </si>
  <si>
    <t>TK-8170</t>
  </si>
  <si>
    <t>TK-8148</t>
  </si>
  <si>
    <t>TK-8164</t>
  </si>
  <si>
    <t>TK-8044</t>
  </si>
  <si>
    <t>2026-08-09</t>
  </si>
  <si>
    <t>TK-8181</t>
  </si>
  <si>
    <t>TK-8042</t>
  </si>
  <si>
    <t>TK-8047</t>
  </si>
  <si>
    <t>TK-8026</t>
  </si>
  <si>
    <t>TK-8118</t>
  </si>
  <si>
    <t>TK-8115</t>
  </si>
  <si>
    <t>TK-8183</t>
  </si>
  <si>
    <t>TK-8075</t>
  </si>
  <si>
    <t>TK-8184</t>
  </si>
  <si>
    <t>TK-8197</t>
  </si>
  <si>
    <t>TK-8013</t>
  </si>
  <si>
    <t>TK-8111</t>
  </si>
  <si>
    <t>TK-8195</t>
  </si>
  <si>
    <t>TK-8112</t>
  </si>
  <si>
    <t>2026-08-10</t>
  </si>
  <si>
    <t>TK-8161</t>
  </si>
  <si>
    <t>TK-8165</t>
  </si>
  <si>
    <t>TK-8033</t>
  </si>
  <si>
    <t>TK-8088</t>
  </si>
  <si>
    <t>TK-8096</t>
  </si>
  <si>
    <t>TK-8059</t>
  </si>
  <si>
    <t>TK-8163</t>
  </si>
  <si>
    <t>TK-8052</t>
  </si>
  <si>
    <t>TK-8144</t>
  </si>
  <si>
    <t>2026-08-11</t>
  </si>
  <si>
    <t>TK-8110</t>
  </si>
  <si>
    <t>TK-8072</t>
  </si>
  <si>
    <t>TK-8038</t>
  </si>
  <si>
    <t>TK-8117</t>
  </si>
  <si>
    <t>TK-8043</t>
  </si>
  <si>
    <t>TK-8079</t>
  </si>
  <si>
    <t>TK-8050</t>
  </si>
  <si>
    <t>TK-8114</t>
  </si>
  <si>
    <t>2026-08-12</t>
  </si>
  <si>
    <t>TK-8156</t>
  </si>
  <si>
    <t>TK-8021</t>
  </si>
  <si>
    <t>TK-8149</t>
  </si>
  <si>
    <t>TK-8089</t>
  </si>
  <si>
    <t>TK-8015</t>
  </si>
  <si>
    <t>TK-8048</t>
  </si>
  <si>
    <t>TK-8060</t>
  </si>
  <si>
    <t>TK-8194</t>
  </si>
  <si>
    <t>TK-8137</t>
  </si>
  <si>
    <t>TK-8162</t>
  </si>
  <si>
    <t>TK-8040</t>
  </si>
  <si>
    <t>2026-08-13</t>
  </si>
  <si>
    <t>TK-8037</t>
  </si>
  <si>
    <t>TK-8051</t>
  </si>
  <si>
    <t>TK-8065</t>
  </si>
  <si>
    <t>TK-8093</t>
  </si>
  <si>
    <t>TK-8057</t>
  </si>
  <si>
    <t>TK-8027</t>
  </si>
  <si>
    <t>TK-8198</t>
  </si>
  <si>
    <t>TK-8188</t>
  </si>
  <si>
    <t>TK-8166</t>
  </si>
  <si>
    <t>TK-8157</t>
  </si>
  <si>
    <t>TK-8016</t>
  </si>
  <si>
    <t>2026-08-14</t>
  </si>
  <si>
    <t>TK-8167</t>
  </si>
  <si>
    <t>TK-8023</t>
  </si>
  <si>
    <t>TK-8174</t>
  </si>
  <si>
    <t>TK-8004</t>
  </si>
  <si>
    <t>TK-8007</t>
  </si>
  <si>
    <t>TK-8187</t>
  </si>
  <si>
    <t>TK-8100</t>
  </si>
  <si>
    <t>TK-8126</t>
  </si>
  <si>
    <t>TK-8073</t>
  </si>
  <si>
    <t>TK-8090</t>
  </si>
  <si>
    <t>TK-8150</t>
  </si>
  <si>
    <t>TK-8141</t>
  </si>
  <si>
    <t>TK-8103</t>
  </si>
  <si>
    <t>TK-8131</t>
  </si>
  <si>
    <t>TK-8058</t>
  </si>
  <si>
    <t>TK-8122</t>
  </si>
  <si>
    <t>TK-8159</t>
  </si>
  <si>
    <t>TK-8091</t>
  </si>
  <si>
    <t>2026-08-15</t>
  </si>
  <si>
    <t>TK-8064</t>
  </si>
  <si>
    <t>TK-8199</t>
  </si>
  <si>
    <t>TK-8104</t>
  </si>
  <si>
    <t>TK-8056</t>
  </si>
  <si>
    <t>TK-8109</t>
  </si>
  <si>
    <t>TK-8158</t>
  </si>
  <si>
    <t>TK-8046</t>
  </si>
  <si>
    <t>TK-8154</t>
  </si>
  <si>
    <t>TK-8176</t>
  </si>
  <si>
    <t>TK-8025</t>
  </si>
  <si>
    <t>2026-08-16</t>
  </si>
  <si>
    <t>TK-8003</t>
  </si>
  <si>
    <t>TK-8153</t>
  </si>
  <si>
    <t>TK-8092</t>
  </si>
  <si>
    <t>TK-8041</t>
  </si>
  <si>
    <t>TK-8063</t>
  </si>
  <si>
    <t>TK-8172</t>
  </si>
  <si>
    <t>TK-8173</t>
  </si>
  <si>
    <t>TK-8138</t>
  </si>
  <si>
    <t>TK-8177</t>
  </si>
  <si>
    <t>TK-8108</t>
  </si>
  <si>
    <t>TK-8014</t>
  </si>
  <si>
    <t>TK-8019</t>
  </si>
  <si>
    <t>TK-8130</t>
  </si>
  <si>
    <t>TK-8128</t>
  </si>
  <si>
    <t>TK-8140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</si>
</sst>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0.0%"/>
    <numFmt numFmtId="166" formatCode="&quot;$&quot;#,##0.00"/>
  </numFmts>
  <fonts count="8">
    <font>
      <sz val="11.0"/>
      <color theme="1"/>
      <name val="Calibri"/>
      <scheme val="minor"/>
    </font>
    <font>
      <b/>
      <sz val="14.0"/>
      <color rgb="FF003366"/>
      <name val="Calibri"/>
      <scheme val="minor"/>
    </font>
    <font>
      <b/>
      <color theme="1"/>
      <name val="Calibri"/>
      <scheme val="minor"/>
    </font>
    <font>
      <b/>
      <color rgb="FF990000"/>
      <name val="Calibri"/>
      <scheme val="minor"/>
    </font>
    <font>
      <color theme="1"/>
      <name val="Calibri"/>
      <scheme val="minor"/>
    </font>
    <font>
      <b/>
      <sz val="11.0"/>
      <color theme="1"/>
      <name val="Calibri"/>
      <scheme val="minor"/>
    </font>
    <font>
      <color rgb="FFFFFFFF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5" xfId="0" applyFont="1" applyNumberFormat="1"/>
    <xf borderId="0" fillId="0" fontId="4" numFmtId="0" xfId="0" applyFont="1"/>
    <xf borderId="0" fillId="0" fontId="5" numFmtId="0" xfId="0" applyFont="1"/>
    <xf borderId="0" fillId="0" fontId="0" numFmtId="0" xfId="0" applyFont="1"/>
    <xf borderId="0" fillId="2" fontId="4" numFmtId="0" xfId="0" applyFill="1" applyFont="1"/>
    <xf borderId="0" fillId="0" fontId="6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7" numFmtId="166" xfId="0" applyAlignment="1" applyFont="1" applyNumberFormat="1">
      <alignment shrinkToFit="0" vertical="center" wrapText="0"/>
    </xf>
    <xf borderId="0" fillId="2" fontId="4" numFmtId="0" xfId="0" applyAlignment="1" applyFont="1">
      <alignment readingOrder="0"/>
    </xf>
    <xf borderId="0" fillId="0" fontId="4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1" xfId="0" applyAlignment="1" applyFont="1" applyNumberFormat="1">
      <alignment shrinkToFit="0" vertical="center" wrapText="0"/>
    </xf>
    <xf borderId="0" fillId="0" fontId="4" numFmtId="166" xfId="0" applyFont="1" applyNumberFormat="1"/>
    <xf borderId="0" fillId="3" fontId="4" numFmtId="0" xfId="0" applyFill="1" applyFont="1"/>
    <xf borderId="0" fillId="0" fontId="4" numFmtId="1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Catálogo-style">
      <tableStyleElement dxfId="1" type="headerRow"/>
      <tableStyleElement dxfId="3" type="firstRowStripe"/>
      <tableStyleElement dxfId="5" type="secondRowStripe"/>
      <tableStyleElement dxfId="6" size="0" type="wholeTable"/>
    </tableStyle>
    <tableStyle count="4" pivot="0" name="Ventas-style">
      <tableStyleElement dxfId="2" type="headerRow"/>
      <tableStyleElement dxfId="4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Accesorios, Audio, Laptops, Mobiliario y Monitores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'Tabla dinámica 1'!$B$1:$B$2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'Tabla dinámica 1'!$A$3:$A$6</c:f>
            </c:strRef>
          </c:cat>
          <c:val>
            <c:numRef>
              <c:f>'Tabla dinámica 1'!$B$3:$B$6</c:f>
              <c:numCache/>
            </c:numRef>
          </c:val>
        </c:ser>
        <c:ser>
          <c:idx val="1"/>
          <c:order val="1"/>
          <c:tx>
            <c:strRef>
              <c:f>'Tabla dinámica 1'!$C$1:$C$2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'Tabla dinámica 1'!$A$3:$A$6</c:f>
            </c:strRef>
          </c:cat>
          <c:val>
            <c:numRef>
              <c:f>'Tabla dinámica 1'!$C$3:$C$6</c:f>
              <c:numCache/>
            </c:numRef>
          </c:val>
        </c:ser>
        <c:ser>
          <c:idx val="2"/>
          <c:order val="2"/>
          <c:tx>
            <c:strRef>
              <c:f>'Tabla dinámica 1'!$D$1:$D$2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'Tabla dinámica 1'!$A$3:$A$6</c:f>
            </c:strRef>
          </c:cat>
          <c:val>
            <c:numRef>
              <c:f>'Tabla dinámica 1'!$D$3:$D$6</c:f>
              <c:numCache/>
            </c:numRef>
          </c:val>
        </c:ser>
        <c:ser>
          <c:idx val="3"/>
          <c:order val="3"/>
          <c:tx>
            <c:strRef>
              <c:f>'Tabla dinámica 1'!$E$1:$E$2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'Tabla dinámica 1'!$A$3:$A$6</c:f>
            </c:strRef>
          </c:cat>
          <c:val>
            <c:numRef>
              <c:f>'Tabla dinámica 1'!$E$3:$E$6</c:f>
              <c:numCache/>
            </c:numRef>
          </c:val>
        </c:ser>
        <c:ser>
          <c:idx val="4"/>
          <c:order val="4"/>
          <c:tx>
            <c:strRef>
              <c:f>'Tabla dinámica 1'!$F$1:$F$2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'Tabla dinámica 1'!$A$3:$A$6</c:f>
            </c:strRef>
          </c:cat>
          <c:val>
            <c:numRef>
              <c:f>'Tabla dinámica 1'!$F$3:$F$6</c:f>
              <c:numCache/>
            </c:numRef>
          </c:val>
        </c:ser>
        <c:overlap val="100"/>
        <c:axId val="235217096"/>
        <c:axId val="332307175"/>
      </c:barChart>
      <c:catAx>
        <c:axId val="235217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Sucursal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307175"/>
      </c:catAx>
      <c:valAx>
        <c:axId val="332307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52170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6</xdr:row>
      <xdr:rowOff>171450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201" sheet="Ventas"/>
  </cacheSource>
  <cacheFields>
    <cacheField name="ID_Ticket" numFmtId="0">
      <sharedItems>
        <s v="TK-8032"/>
        <s v="TK-8101"/>
        <s v="TK-8102"/>
        <s v="TK-8107"/>
        <s v="TK-8034"/>
        <s v="TK-8160"/>
        <s v="TK-8168"/>
        <s v="TK-8018"/>
        <s v="TK-8186"/>
        <s v="TK-8094"/>
        <s v="TK-8005"/>
        <s v="TK-8192"/>
        <s v="TK-8087"/>
        <s v="TK-8066"/>
        <s v="TK-8035"/>
        <s v="TK-8029"/>
        <s v="TK-8193"/>
        <s v="TK-8022"/>
        <s v="TK-8105"/>
        <s v="TK-8067"/>
        <s v="TK-8077"/>
        <s v="TK-8082"/>
        <s v="TK-8062"/>
        <s v="TK-8012"/>
        <s v="TK-8086"/>
        <s v="TK-8124"/>
        <s v="TK-8121"/>
        <s v="TK-8036"/>
        <s v="TK-8191"/>
        <s v="TK-8185"/>
        <s v="TK-8119"/>
        <s v="TK-8001"/>
        <s v="TK-8030"/>
        <s v="TK-8116"/>
        <s v="TK-8054"/>
        <s v="TK-8180"/>
        <s v="TK-8006"/>
        <s v="TK-8196"/>
        <s v="TK-8031"/>
        <s v="TK-8099"/>
        <s v="TK-8134"/>
        <s v="TK-8120"/>
        <s v="TK-8106"/>
        <s v="TK-8146"/>
        <s v="TK-8068"/>
        <s v="TK-8039"/>
        <s v="TK-8145"/>
        <s v="TK-8076"/>
        <s v="TK-8085"/>
        <s v="TK-8179"/>
        <s v="TK-8008"/>
        <s v="TK-8084"/>
        <s v="TK-8182"/>
        <s v="TK-8155"/>
        <s v="TK-8152"/>
        <s v="TK-8139"/>
        <s v="TK-8053"/>
        <s v="TK-8028"/>
        <s v="TK-8129"/>
        <s v="TK-8055"/>
        <s v="TK-8011"/>
        <s v="TK-8074"/>
        <s v="TK-8071"/>
        <s v="TK-8143"/>
        <s v="TK-8113"/>
        <s v="TK-8136"/>
        <s v="TK-8081"/>
        <s v="TK-8169"/>
        <s v="TK-8002"/>
        <s v="TK-8098"/>
        <s v="TK-8080"/>
        <s v="TK-8132"/>
        <s v="TK-8142"/>
        <s v="TK-8147"/>
        <s v="TK-8151"/>
        <s v="TK-8083"/>
        <s v="TK-8175"/>
        <s v="TK-8178"/>
        <s v="TK-8190"/>
        <s v="TK-8200"/>
        <s v="TK-8024"/>
        <s v="TK-8049"/>
        <s v="TK-8070"/>
        <s v="TK-8069"/>
        <s v="TK-8009"/>
        <s v="TK-8020"/>
        <s v="TK-8078"/>
        <s v="TK-8123"/>
        <s v="TK-8125"/>
        <s v="TK-8189"/>
        <s v="TK-8010"/>
        <s v="TK-8127"/>
        <s v="TK-8061"/>
        <s v="TK-8017"/>
        <s v="TK-8097"/>
        <s v="TK-8095"/>
        <s v="TK-8045"/>
        <s v="TK-8133"/>
        <s v="TK-8135"/>
        <s v="TK-8171"/>
        <s v="TK-8170"/>
        <s v="TK-8148"/>
        <s v="TK-8164"/>
        <s v="TK-8044"/>
        <s v="TK-8181"/>
        <s v="TK-8042"/>
        <s v="TK-8047"/>
        <s v="TK-8026"/>
        <s v="TK-8118"/>
        <s v="TK-8115"/>
        <s v="TK-8183"/>
        <s v="TK-8075"/>
        <s v="TK-8184"/>
        <s v="TK-8197"/>
        <s v="TK-8013"/>
        <s v="TK-8111"/>
        <s v="TK-8195"/>
        <s v="TK-8112"/>
        <s v="TK-8161"/>
        <s v="TK-8165"/>
        <s v="TK-8033"/>
        <s v="TK-8088"/>
        <s v="TK-8096"/>
        <s v="TK-8059"/>
        <s v="TK-8163"/>
        <s v="TK-8052"/>
        <s v="TK-8144"/>
        <s v="TK-8110"/>
        <s v="TK-8072"/>
        <s v="TK-8038"/>
        <s v="TK-8117"/>
        <s v="TK-8043"/>
        <s v="TK-8079"/>
        <s v="TK-8050"/>
        <s v="TK-8114"/>
        <s v="TK-8156"/>
        <s v="TK-8021"/>
        <s v="TK-8149"/>
        <s v="TK-8089"/>
        <s v="TK-8015"/>
        <s v="TK-8048"/>
        <s v="TK-8060"/>
        <s v="TK-8194"/>
        <s v="TK-8137"/>
        <s v="TK-8162"/>
        <s v="TK-8040"/>
        <s v="TK-8037"/>
        <s v="TK-8051"/>
        <s v="TK-8065"/>
        <s v="TK-8093"/>
        <s v="TK-8057"/>
        <s v="TK-8027"/>
        <s v="TK-8198"/>
        <s v="TK-8188"/>
        <s v="TK-8166"/>
        <s v="TK-8157"/>
        <s v="TK-8016"/>
        <s v="TK-8167"/>
        <s v="TK-8023"/>
        <s v="TK-8174"/>
        <s v="TK-8004"/>
        <s v="TK-8007"/>
        <s v="TK-8187"/>
        <s v="TK-8100"/>
        <s v="TK-8126"/>
        <s v="TK-8073"/>
        <s v="TK-8090"/>
        <s v="TK-8150"/>
        <s v="TK-8141"/>
        <s v="TK-8103"/>
        <s v="TK-8131"/>
        <s v="TK-8058"/>
        <s v="TK-8122"/>
        <s v="TK-8159"/>
        <s v="TK-8091"/>
        <s v="TK-8064"/>
        <s v="TK-8199"/>
        <s v="TK-8104"/>
        <s v="TK-8056"/>
        <s v="TK-8109"/>
        <s v="TK-8158"/>
        <s v="TK-8046"/>
        <s v="TK-8154"/>
        <s v="TK-8176"/>
        <s v="TK-8025"/>
        <s v="TK-8003"/>
        <s v="TK-8153"/>
        <s v="TK-8092"/>
        <s v="TK-8041"/>
        <s v="TK-8063"/>
        <s v="TK-8172"/>
        <s v="TK-8173"/>
        <s v="TK-8138"/>
        <s v="TK-8177"/>
        <s v="TK-8108"/>
        <s v="TK-8014"/>
        <s v="TK-8019"/>
        <s v="TK-8130"/>
        <s v="TK-8128"/>
        <s v="TK-8140"/>
      </sharedItems>
    </cacheField>
    <cacheField name="Fecha" numFmtId="0">
      <sharedItems>
        <s v="2026-08-01"/>
        <s v="2026-08-02"/>
        <s v="2026-08-03"/>
        <s v="2026-08-04"/>
        <s v="2026-08-05"/>
        <s v="2026-08-06"/>
        <s v="2026-08-07"/>
        <s v="2026-08-08"/>
        <s v="2026-08-09"/>
        <s v="2026-08-10"/>
        <s v="2026-08-11"/>
        <s v="2026-08-12"/>
        <s v="2026-08-13"/>
        <s v="2026-08-14"/>
        <s v="2026-08-15"/>
        <s v="2026-08-16"/>
      </sharedItems>
    </cacheField>
    <cacheField name="ID_Producto" numFmtId="0">
      <sharedItems>
        <s v="T-107"/>
        <s v="T-106"/>
        <s v="T-104"/>
        <s v="T-102"/>
        <s v="T-101"/>
        <s v="T-108"/>
        <s v="T-105"/>
        <s v="T-103"/>
      </sharedItems>
    </cacheField>
    <cacheField name="Sucursal" numFmtId="0">
      <sharedItems>
        <s v="Sucursal Sur"/>
        <s v="Sucursal Poniente"/>
        <s v="Sucursal Norte"/>
        <s v="Centro"/>
      </sharedItems>
    </cacheField>
    <cacheField name="Metodo_Pago" numFmtId="0">
      <sharedItems>
        <s v="Transferencia"/>
        <s v="Efectivo"/>
        <s v="Tarjeta de Débito"/>
        <s v="Tarjeta de Crédito"/>
      </sharedItems>
    </cacheField>
    <cacheField name="Cantidad" numFmtId="0">
      <sharedItems containsSemiMixedTypes="0" containsString="0" containsNumber="1" containsInteger="1">
        <n v="1.0"/>
        <n v="2.0"/>
        <n v="3.0"/>
        <n v="4.0"/>
      </sharedItems>
    </cacheField>
    <cacheField name="Producto" numFmtId="0">
      <sharedItems>
        <s v="Micrófono USB Studio"/>
        <s v="Auriculares Noise Cancelling"/>
        <s v="Laptop Gamer 16GB"/>
        <s v="Teclado Mecánico RGB"/>
        <s v="Monitor Curvo 27&quot;"/>
        <s v="Silla Ergonómica Pro"/>
        <s v="Laptop Ultrabook 14&quot;"/>
        <s v="Mouse Inalámbrico Pro"/>
      </sharedItems>
    </cacheField>
    <cacheField name="Categoria" numFmtId="0">
      <sharedItems>
        <s v="Audio"/>
        <s v="Laptops"/>
        <s v="Accesorios"/>
        <s v="Monitores"/>
        <s v="Mobiliario"/>
      </sharedItems>
    </cacheField>
    <cacheField name="Costo" numFmtId="164">
      <sharedItems containsSemiMixedTypes="0" containsString="0" containsNumber="1" containsInteger="1">
        <n v="950.0"/>
        <n v="1600.0"/>
        <n v="14500.0"/>
        <n v="650.0"/>
        <n v="2800.0"/>
        <n v="3200.0"/>
        <n v="11200.0"/>
        <n v="420.0"/>
      </sharedItems>
    </cacheField>
    <cacheField name="Precio de lista" numFmtId="164">
      <sharedItems containsSemiMixedTypes="0" containsString="0" containsNumber="1" containsInteger="1">
        <n v="1899.0"/>
        <n v="3199.0"/>
        <n v="22499.0"/>
        <n v="1350.0"/>
        <n v="4999.0"/>
        <n v="5699.0"/>
        <n v="17999.0"/>
        <n v="899.0"/>
      </sharedItems>
    </cacheField>
    <cacheField name="Ingreso Bruto" numFmtId="0">
      <sharedItems containsSemiMixedTypes="0" containsString="0" containsNumber="1" containsInteger="1">
        <n v="1899.0"/>
        <n v="3199.0"/>
        <n v="22499.0"/>
        <n v="6398.0"/>
        <n v="1350.0"/>
        <n v="4999.0"/>
        <n v="5699.0"/>
        <n v="9998.0"/>
        <n v="17999.0"/>
        <n v="11398.0"/>
        <n v="53997.0"/>
        <n v="899.0"/>
        <n v="44998.0"/>
        <n v="17097.0"/>
        <n v="35998.0"/>
        <n v="4050.0"/>
        <n v="3798.0"/>
        <n v="67497.0"/>
        <n v="2700.0"/>
        <n v="5697.0"/>
        <n v="1798.0"/>
        <n v="89996.0"/>
        <n v="7596.0"/>
        <n v="19996.0"/>
        <n v="5400.0"/>
        <n v="12796.0"/>
        <n v="71996.0"/>
        <n v="14997.0"/>
        <n v="9597.0"/>
      </sharedItems>
    </cacheField>
    <cacheField name="Costo total" numFmtId="0">
      <sharedItems containsSemiMixedTypes="0" containsString="0" containsNumber="1" containsInteger="1">
        <n v="950.0"/>
        <n v="1600.0"/>
        <n v="14500.0"/>
        <n v="3200.0"/>
        <n v="650.0"/>
        <n v="2800.0"/>
        <n v="5600.0"/>
        <n v="11200.0"/>
        <n v="6400.0"/>
        <n v="33600.0"/>
        <n v="420.0"/>
        <n v="29000.0"/>
        <n v="9600.0"/>
        <n v="22400.0"/>
        <n v="1950.0"/>
        <n v="1900.0"/>
        <n v="43500.0"/>
        <n v="1300.0"/>
        <n v="2850.0"/>
        <n v="840.0"/>
        <n v="58000.0"/>
        <n v="3800.0"/>
        <n v="2600.0"/>
        <n v="44800.0"/>
        <n v="8400.0"/>
        <n v="4800.0"/>
      </sharedItems>
    </cacheField>
    <cacheField name="Comision Bancaria" numFmtId="1">
      <sharedItems containsSemiMixedTypes="0" containsString="0" containsNumber="1">
        <n v="0.0"/>
        <n v="111.96500000000002"/>
        <n v="199.46500000000003"/>
        <n v="629.965"/>
        <n v="787.465"/>
        <n v="66.465"/>
        <n v="31.465000000000003"/>
        <n v="174.965"/>
        <n v="47.25000000000001"/>
      </sharedItems>
    </cacheField>
    <cacheField name="Utilidad operativa" numFmtId="1">
      <sharedItems containsSemiMixedTypes="0" containsString="0" containsNumber="1">
        <n v="949.0"/>
        <n v="1599.0"/>
        <n v="7999.0"/>
        <n v="3086.035"/>
        <n v="700.0"/>
        <n v="2199.0"/>
        <n v="2499.0"/>
        <n v="2299.535"/>
        <n v="4398.0"/>
        <n v="6799.0"/>
        <n v="4998.0"/>
        <n v="20397.0"/>
        <n v="19767.035"/>
        <n v="479.0"/>
        <n v="15210.535"/>
        <n v="7497.0"/>
        <n v="13598.0"/>
        <n v="2100.0"/>
        <n v="15998.0"/>
        <n v="882.535"/>
        <n v="6169.035"/>
        <n v="1898.0"/>
        <n v="3198.0"/>
        <n v="447.53499999999997"/>
        <n v="23209.535"/>
        <n v="1400.0"/>
        <n v="2024.035"/>
        <n v="2847.0"/>
        <n v="4798.535"/>
        <n v="23997.0"/>
        <n v="1487.035"/>
        <n v="926.535"/>
        <n v="31996.0"/>
        <n v="3796.0"/>
        <n v="8621.035"/>
        <n v="652.75"/>
        <n v="958.0"/>
        <n v="2800.0"/>
        <n v="6396.0"/>
        <n v="27196.0"/>
        <n v="8796.0"/>
        <n v="6284.035"/>
        <n v="1352.75"/>
        <n v="4223.035"/>
        <n v="6597.0"/>
        <n v="7211.535"/>
        <n v="4685.035"/>
      </sharedItems>
    </cacheField>
    <cacheField name="Clasificacion ticket" numFmtId="0">
      <sharedItems>
        <s v="Ticket Estandar"/>
        <s v="Ticket alto valo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G7" firstHeaderRow="0" firstDataRow="1" firstDataCol="1"/>
  <pivotFields>
    <pivotField name="ID_Tic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ucursal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Metodo_Pago" compact="0" outline="0" multipleItemSelectionAllowed="1" showAll="0">
      <items>
        <item x="0"/>
        <item x="1"/>
        <item x="2"/>
        <item x="3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tegoria" axis="axisCol" compact="0" outline="0" multipleItemSelectionAllowed="1" showAll="0" sortType="ascending">
      <items>
        <item x="2"/>
        <item x="0"/>
        <item x="1"/>
        <item x="4"/>
        <item x="3"/>
        <item t="default"/>
      </items>
    </pivotField>
    <pivotField name="Cos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ecio de lis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greso Br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Costo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mision Bancaria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tilidad operativa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Clasificacion ticket" compact="0" outline="0" multipleItemSelectionAllowed="1" showAll="0">
      <items>
        <item x="0"/>
        <item x="1"/>
        <item t="default"/>
      </items>
    </pivotField>
  </pivotFields>
  <rowFields>
    <field x="3"/>
  </rowFields>
  <colFields>
    <field x="7"/>
  </colFields>
  <dataFields>
    <dataField name="SUM of Utilidad operativa" fld="13" baseField="0"/>
  </dataFields>
</pivotTableDefinition>
</file>

<file path=xl/tables/table1.xml><?xml version="1.0" encoding="utf-8"?>
<table xmlns="http://schemas.openxmlformats.org/spreadsheetml/2006/main" ref="A1:E9" displayName="DimProductos" name="DimProductos" id="1">
  <tableColumns count="5">
    <tableColumn name="ID_Producto" id="1"/>
    <tableColumn name="Producto" id="2"/>
    <tableColumn name="Categoria" id="3"/>
    <tableColumn name="Costo_Unitario" id="4"/>
    <tableColumn name="Precio_Lista" id="5"/>
  </tableColumns>
  <tableStyleInfo name="Catálogo-style" showColumnStripes="0" showFirstColumn="1" showLastColumn="1" showRowStripes="1"/>
</table>
</file>

<file path=xl/tables/table2.xml><?xml version="1.0" encoding="utf-8"?>
<table xmlns="http://schemas.openxmlformats.org/spreadsheetml/2006/main" ref="A1:O201" displayName="FactVentas" name="FactVentas" id="2">
  <tableColumns count="15">
    <tableColumn name="ID_Ticket" id="1"/>
    <tableColumn name="Fecha" id="2"/>
    <tableColumn name="ID_Producto" id="3"/>
    <tableColumn name="Sucursal" id="4"/>
    <tableColumn name="Metodo_Pago" id="5"/>
    <tableColumn name="Cantidad" id="6"/>
    <tableColumn name="Producto" id="7"/>
    <tableColumn name="Categoria" id="8"/>
    <tableColumn name="Costo" id="9"/>
    <tableColumn name="Precio de lista" id="10"/>
    <tableColumn name="Ingreso Bruto" id="11"/>
    <tableColumn name="Costo total" id="12"/>
    <tableColumn name="Comision Bancaria" id="13"/>
    <tableColumn name="Utilidad operativa" id="14"/>
    <tableColumn name="Clasificacion ticket" id="15"/>
  </tableColumns>
  <tableStyleInfo name="Ven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5.0"/>
    <col customWidth="1" min="2" max="8" width="8.71"/>
    <col customWidth="1" min="9" max="9" width="22.0"/>
    <col customWidth="1" min="10" max="10" width="12.0"/>
    <col customWidth="1" min="11" max="26" width="8.71"/>
  </cols>
  <sheetData>
    <row r="1">
      <c r="A1" s="1" t="s">
        <v>0</v>
      </c>
    </row>
    <row r="2">
      <c r="I2" s="2" t="s">
        <v>1</v>
      </c>
      <c r="J2" s="3">
        <v>0.035</v>
      </c>
    </row>
    <row r="3">
      <c r="A3" s="4" t="s">
        <v>2</v>
      </c>
    </row>
    <row r="5">
      <c r="A5" s="5" t="s">
        <v>3</v>
      </c>
    </row>
    <row r="6">
      <c r="A6" s="6" t="s">
        <v>4</v>
      </c>
      <c r="B6" s="7"/>
    </row>
    <row r="7">
      <c r="A7" s="6" t="s">
        <v>5</v>
      </c>
      <c r="B7" s="7"/>
    </row>
    <row r="8">
      <c r="A8" s="6" t="s">
        <v>6</v>
      </c>
    </row>
    <row r="9">
      <c r="A9" s="6" t="s">
        <v>7</v>
      </c>
      <c r="B9" s="7"/>
    </row>
    <row r="10">
      <c r="A10" s="6" t="s">
        <v>8</v>
      </c>
      <c r="B10" s="7"/>
    </row>
    <row r="11">
      <c r="A11" s="6" t="s">
        <v>9</v>
      </c>
    </row>
    <row r="12">
      <c r="A12" s="6" t="s">
        <v>10</v>
      </c>
      <c r="B12" s="7"/>
    </row>
    <row r="13">
      <c r="A13" s="6" t="s">
        <v>11</v>
      </c>
      <c r="B13" s="7"/>
    </row>
    <row r="14">
      <c r="A14" s="6" t="s">
        <v>12</v>
      </c>
      <c r="B14" s="7"/>
    </row>
    <row r="15">
      <c r="A15" s="6" t="s">
        <v>13</v>
      </c>
    </row>
    <row r="16">
      <c r="A16" s="6" t="s">
        <v>14</v>
      </c>
      <c r="B16" s="7"/>
    </row>
    <row r="17">
      <c r="A17" s="6" t="s">
        <v>15</v>
      </c>
    </row>
    <row r="18">
      <c r="A18" s="6" t="s">
        <v>16</v>
      </c>
      <c r="B18" s="7"/>
    </row>
    <row r="19">
      <c r="A19" s="6" t="s">
        <v>17</v>
      </c>
      <c r="B19" s="7"/>
    </row>
    <row r="20">
      <c r="A20" s="6" t="s">
        <v>18</v>
      </c>
    </row>
    <row r="21" ht="15.75" customHeight="1">
      <c r="A21" s="6" t="s">
        <v>19</v>
      </c>
    </row>
    <row r="22" ht="15.75" customHeight="1">
      <c r="A22" s="6" t="s">
        <v>20</v>
      </c>
    </row>
    <row r="23" ht="15.75" customHeight="1">
      <c r="A23" s="6" t="s">
        <v>21</v>
      </c>
    </row>
    <row r="24" ht="15.75" customHeight="1">
      <c r="A24" s="6" t="s">
        <v>22</v>
      </c>
    </row>
    <row r="25" ht="15.75" customHeight="1">
      <c r="A25" s="6" t="s">
        <v>23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2.0"/>
    <col customWidth="1" min="6" max="26" width="8.71"/>
  </cols>
  <sheetData>
    <row r="1">
      <c r="A1" s="8" t="s">
        <v>24</v>
      </c>
      <c r="B1" s="8" t="s">
        <v>26</v>
      </c>
      <c r="C1" s="8" t="s">
        <v>28</v>
      </c>
      <c r="D1" s="8" t="s">
        <v>29</v>
      </c>
      <c r="E1" s="8" t="s">
        <v>31</v>
      </c>
    </row>
    <row r="2">
      <c r="A2" s="9" t="s">
        <v>33</v>
      </c>
      <c r="B2" s="9" t="s">
        <v>35</v>
      </c>
      <c r="C2" s="9" t="s">
        <v>36</v>
      </c>
      <c r="D2" s="11">
        <v>2800.0</v>
      </c>
      <c r="E2" s="11">
        <v>4999.0</v>
      </c>
    </row>
    <row r="3">
      <c r="A3" s="9" t="s">
        <v>40</v>
      </c>
      <c r="B3" s="9" t="s">
        <v>41</v>
      </c>
      <c r="C3" s="9" t="s">
        <v>43</v>
      </c>
      <c r="D3" s="11">
        <v>650.0</v>
      </c>
      <c r="E3" s="11">
        <v>1350.0</v>
      </c>
    </row>
    <row r="4">
      <c r="A4" s="9" t="s">
        <v>46</v>
      </c>
      <c r="B4" s="9" t="s">
        <v>47</v>
      </c>
      <c r="C4" s="9" t="s">
        <v>43</v>
      </c>
      <c r="D4" s="11">
        <v>420.0</v>
      </c>
      <c r="E4" s="11">
        <v>899.0</v>
      </c>
    </row>
    <row r="5">
      <c r="A5" s="9" t="s">
        <v>52</v>
      </c>
      <c r="B5" s="9" t="s">
        <v>54</v>
      </c>
      <c r="C5" s="9" t="s">
        <v>56</v>
      </c>
      <c r="D5" s="11">
        <v>14500.0</v>
      </c>
      <c r="E5" s="11">
        <v>22499.0</v>
      </c>
    </row>
    <row r="6">
      <c r="A6" s="9" t="s">
        <v>59</v>
      </c>
      <c r="B6" s="9" t="s">
        <v>60</v>
      </c>
      <c r="C6" s="9" t="s">
        <v>56</v>
      </c>
      <c r="D6" s="11">
        <v>11200.0</v>
      </c>
      <c r="E6" s="11">
        <v>17999.0</v>
      </c>
    </row>
    <row r="7">
      <c r="A7" s="9" t="s">
        <v>61</v>
      </c>
      <c r="B7" s="9" t="s">
        <v>62</v>
      </c>
      <c r="C7" s="9" t="s">
        <v>63</v>
      </c>
      <c r="D7" s="11">
        <v>1600.0</v>
      </c>
      <c r="E7" s="11">
        <v>3199.0</v>
      </c>
    </row>
    <row r="8">
      <c r="A8" s="9" t="s">
        <v>55</v>
      </c>
      <c r="B8" s="9" t="s">
        <v>64</v>
      </c>
      <c r="C8" s="9" t="s">
        <v>63</v>
      </c>
      <c r="D8" s="11">
        <v>950.0</v>
      </c>
      <c r="E8" s="11">
        <v>1899.0</v>
      </c>
    </row>
    <row r="9">
      <c r="A9" s="9" t="s">
        <v>65</v>
      </c>
      <c r="B9" s="9" t="s">
        <v>66</v>
      </c>
      <c r="C9" s="9" t="s">
        <v>67</v>
      </c>
      <c r="D9" s="11">
        <v>3200.0</v>
      </c>
      <c r="E9" s="11">
        <v>5699.0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A627CEC-FACA-4C66-BC98-B1F2FE6DE79D}" filter="1" showAutoFilter="1">
      <autoFilter ref="$A$1:$E$9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8.0"/>
    <col customWidth="1" min="7" max="7" width="15.71"/>
    <col customWidth="1" min="8" max="8" width="13.29"/>
    <col customWidth="1" min="9" max="9" width="14.29"/>
    <col customWidth="1" min="10" max="10" width="18.43"/>
    <col customWidth="1" min="11" max="11" width="17.71"/>
    <col customWidth="1" min="12" max="12" width="16.71"/>
    <col customWidth="1" min="13" max="13" width="22.57"/>
    <col customWidth="1" min="14" max="14" width="20.71"/>
    <col customWidth="1" min="15" max="15" width="18.14"/>
    <col customWidth="1" min="16" max="17" width="8.71"/>
    <col customWidth="1" min="18" max="18" width="18.0"/>
    <col customWidth="1" min="19" max="20" width="8.71"/>
    <col customWidth="1" min="21" max="21" width="18.14"/>
    <col customWidth="1" min="22" max="26" width="8.71"/>
  </cols>
  <sheetData>
    <row r="1">
      <c r="A1" s="8" t="s">
        <v>25</v>
      </c>
      <c r="B1" s="8" t="s">
        <v>27</v>
      </c>
      <c r="C1" s="8" t="s">
        <v>24</v>
      </c>
      <c r="D1" s="8" t="s">
        <v>30</v>
      </c>
      <c r="E1" s="8" t="s">
        <v>32</v>
      </c>
      <c r="F1" s="8" t="s">
        <v>34</v>
      </c>
      <c r="G1" s="10" t="s">
        <v>26</v>
      </c>
      <c r="H1" s="10" t="s">
        <v>28</v>
      </c>
      <c r="I1" s="10" t="s">
        <v>37</v>
      </c>
      <c r="J1" s="10" t="s">
        <v>38</v>
      </c>
      <c r="K1" s="10" t="s">
        <v>39</v>
      </c>
      <c r="L1" s="10" t="s">
        <v>42</v>
      </c>
      <c r="M1" s="10" t="s">
        <v>44</v>
      </c>
      <c r="N1" s="10" t="s">
        <v>45</v>
      </c>
      <c r="O1" s="10" t="s">
        <v>48</v>
      </c>
      <c r="R1" s="12" t="s">
        <v>49</v>
      </c>
      <c r="U1" s="12" t="s">
        <v>50</v>
      </c>
    </row>
    <row r="2">
      <c r="A2" s="9" t="s">
        <v>51</v>
      </c>
      <c r="B2" s="9" t="s">
        <v>53</v>
      </c>
      <c r="C2" s="9" t="s">
        <v>55</v>
      </c>
      <c r="D2" s="9" t="s">
        <v>57</v>
      </c>
      <c r="E2" s="9" t="s">
        <v>58</v>
      </c>
      <c r="F2" s="9">
        <v>1.0</v>
      </c>
      <c r="G2" s="13" t="str">
        <f t="array" ref="G2:J2">XLOOKUP(C2,DimProductos[ID_Producto],DimProductos[[Producto]:[Precio_Lista]])</f>
        <v>Micrófono USB Studio</v>
      </c>
      <c r="H2" s="13" t="s">
        <v>63</v>
      </c>
      <c r="I2" s="14">
        <v>950.0</v>
      </c>
      <c r="J2" s="14">
        <v>1899.0</v>
      </c>
      <c r="K2" s="13">
        <f t="shared" ref="K2:K201" si="1">F2*J2</f>
        <v>1899</v>
      </c>
      <c r="L2" s="13">
        <f t="shared" ref="L2:L201" si="2">F2*I2</f>
        <v>950</v>
      </c>
      <c r="M2" s="15">
        <f>IFS(E2="Tarjeta de Crédito",J2*Instrucciones!$J$2,E2&lt;&gt;"Tarjeta de Crédito",0)</f>
        <v>0</v>
      </c>
      <c r="N2" s="15">
        <f t="shared" ref="N2:N201" si="3">K2-L2-M2</f>
        <v>949</v>
      </c>
      <c r="O2" s="13" t="str">
        <f t="shared" ref="O2:O201" si="4">IF(N2&gt;1500,"Ticket alto valor","Ticket Estandar")</f>
        <v>Ticket Estandar</v>
      </c>
      <c r="R2" s="4">
        <f>COUNTIF(FactVentas[Metodo_Pago],"Transferencia")</f>
        <v>58</v>
      </c>
      <c r="U2" s="16">
        <f>SUMIF(FactVentas[Categoria],"Laptops",FactVentas[Utilidad operativa])</f>
        <v>691883.675</v>
      </c>
    </row>
    <row r="3">
      <c r="A3" s="9" t="s">
        <v>68</v>
      </c>
      <c r="B3" s="9" t="s">
        <v>53</v>
      </c>
      <c r="C3" s="9" t="s">
        <v>61</v>
      </c>
      <c r="D3" s="9" t="s">
        <v>69</v>
      </c>
      <c r="E3" s="9" t="s">
        <v>70</v>
      </c>
      <c r="F3" s="9">
        <v>1.0</v>
      </c>
      <c r="G3" s="13" t="str">
        <f t="array" ref="G3:J3">XLOOKUP(C3,DimProductos[ID_Producto],DimProductos[[Producto]:[Precio_Lista]])</f>
        <v>Auriculares Noise Cancelling</v>
      </c>
      <c r="H3" s="13" t="s">
        <v>63</v>
      </c>
      <c r="I3" s="14">
        <v>1600.0</v>
      </c>
      <c r="J3" s="14">
        <v>3199.0</v>
      </c>
      <c r="K3" s="13">
        <f t="shared" si="1"/>
        <v>3199</v>
      </c>
      <c r="L3" s="13">
        <f t="shared" si="2"/>
        <v>1600</v>
      </c>
      <c r="M3" s="15">
        <f>IFS(E3="Tarjeta de Crédito",J3*Instrucciones!$J$2,E3&lt;&gt;"Tarjeta de Crédito",0)</f>
        <v>0</v>
      </c>
      <c r="N3" s="15">
        <f t="shared" si="3"/>
        <v>1599</v>
      </c>
      <c r="O3" s="13" t="str">
        <f t="shared" si="4"/>
        <v>Ticket alto valor</v>
      </c>
    </row>
    <row r="4">
      <c r="A4" s="9" t="s">
        <v>71</v>
      </c>
      <c r="B4" s="9" t="s">
        <v>53</v>
      </c>
      <c r="C4" s="9" t="s">
        <v>61</v>
      </c>
      <c r="D4" s="9" t="s">
        <v>72</v>
      </c>
      <c r="E4" s="9" t="s">
        <v>73</v>
      </c>
      <c r="F4" s="9">
        <v>1.0</v>
      </c>
      <c r="G4" s="13" t="str">
        <f t="array" ref="G4:J4">XLOOKUP(C4,DimProductos[ID_Producto],DimProductos[[Producto]:[Precio_Lista]])</f>
        <v>Auriculares Noise Cancelling</v>
      </c>
      <c r="H4" s="13" t="s">
        <v>63</v>
      </c>
      <c r="I4" s="14">
        <v>1600.0</v>
      </c>
      <c r="J4" s="14">
        <v>3199.0</v>
      </c>
      <c r="K4" s="13">
        <f t="shared" si="1"/>
        <v>3199</v>
      </c>
      <c r="L4" s="13">
        <f t="shared" si="2"/>
        <v>1600</v>
      </c>
      <c r="M4" s="15">
        <f>IFS(E4="Tarjeta de Crédito",J4*Instrucciones!$J$2,E4&lt;&gt;"Tarjeta de Crédito",0)</f>
        <v>0</v>
      </c>
      <c r="N4" s="15">
        <f t="shared" si="3"/>
        <v>1599</v>
      </c>
      <c r="O4" s="13" t="str">
        <f t="shared" si="4"/>
        <v>Ticket alto valor</v>
      </c>
    </row>
    <row r="5">
      <c r="A5" s="9" t="s">
        <v>74</v>
      </c>
      <c r="B5" s="9" t="s">
        <v>53</v>
      </c>
      <c r="C5" s="9" t="s">
        <v>52</v>
      </c>
      <c r="D5" s="9" t="s">
        <v>57</v>
      </c>
      <c r="E5" s="9" t="s">
        <v>58</v>
      </c>
      <c r="F5" s="9">
        <v>1.0</v>
      </c>
      <c r="G5" s="13" t="str">
        <f t="array" ref="G5:J5">XLOOKUP(C5,DimProductos[ID_Producto],DimProductos[[Producto]:[Precio_Lista]])</f>
        <v>Laptop Gamer 16GB</v>
      </c>
      <c r="H5" s="13" t="s">
        <v>56</v>
      </c>
      <c r="I5" s="14">
        <v>14500.0</v>
      </c>
      <c r="J5" s="14">
        <v>22499.0</v>
      </c>
      <c r="K5" s="13">
        <f t="shared" si="1"/>
        <v>22499</v>
      </c>
      <c r="L5" s="13">
        <f t="shared" si="2"/>
        <v>14500</v>
      </c>
      <c r="M5" s="15">
        <f>IFS(E5="Tarjeta de Crédito",J5*Instrucciones!$J$2,E5&lt;&gt;"Tarjeta de Crédito",0)</f>
        <v>0</v>
      </c>
      <c r="N5" s="15">
        <f t="shared" si="3"/>
        <v>7999</v>
      </c>
      <c r="O5" s="13" t="str">
        <f t="shared" si="4"/>
        <v>Ticket alto valor</v>
      </c>
      <c r="U5" s="17"/>
    </row>
    <row r="6">
      <c r="A6" s="9" t="s">
        <v>75</v>
      </c>
      <c r="B6" s="9" t="s">
        <v>53</v>
      </c>
      <c r="C6" s="9" t="s">
        <v>61</v>
      </c>
      <c r="D6" s="9" t="s">
        <v>72</v>
      </c>
      <c r="E6" s="9" t="s">
        <v>77</v>
      </c>
      <c r="F6" s="9">
        <v>2.0</v>
      </c>
      <c r="G6" s="13" t="str">
        <f t="array" ref="G6:J6">XLOOKUP(C6,DimProductos[ID_Producto],DimProductos[[Producto]:[Precio_Lista]])</f>
        <v>Auriculares Noise Cancelling</v>
      </c>
      <c r="H6" s="13" t="s">
        <v>63</v>
      </c>
      <c r="I6" s="14">
        <v>1600.0</v>
      </c>
      <c r="J6" s="14">
        <v>3199.0</v>
      </c>
      <c r="K6" s="13">
        <f t="shared" si="1"/>
        <v>6398</v>
      </c>
      <c r="L6" s="13">
        <f t="shared" si="2"/>
        <v>3200</v>
      </c>
      <c r="M6" s="15">
        <f>IFS(E6="Tarjeta de Crédito",J6*Instrucciones!$J$2,E6&lt;&gt;"Tarjeta de Crédito",0)</f>
        <v>111.965</v>
      </c>
      <c r="N6" s="15">
        <f t="shared" si="3"/>
        <v>3086.035</v>
      </c>
      <c r="O6" s="13" t="str">
        <f t="shared" si="4"/>
        <v>Ticket alto valor</v>
      </c>
    </row>
    <row r="7">
      <c r="A7" s="9" t="s">
        <v>80</v>
      </c>
      <c r="B7" s="9" t="s">
        <v>53</v>
      </c>
      <c r="C7" s="9" t="s">
        <v>40</v>
      </c>
      <c r="D7" s="9" t="s">
        <v>69</v>
      </c>
      <c r="E7" s="9" t="s">
        <v>70</v>
      </c>
      <c r="F7" s="9">
        <v>1.0</v>
      </c>
      <c r="G7" s="13" t="str">
        <f t="array" ref="G7:J7">XLOOKUP(C7,DimProductos[ID_Producto],DimProductos[[Producto]:[Precio_Lista]])</f>
        <v>Teclado Mecánico RGB</v>
      </c>
      <c r="H7" s="13" t="s">
        <v>43</v>
      </c>
      <c r="I7" s="14">
        <v>650.0</v>
      </c>
      <c r="J7" s="14">
        <v>1350.0</v>
      </c>
      <c r="K7" s="13">
        <f t="shared" si="1"/>
        <v>1350</v>
      </c>
      <c r="L7" s="13">
        <f t="shared" si="2"/>
        <v>650</v>
      </c>
      <c r="M7" s="15">
        <f>IFS(E7="Tarjeta de Crédito",J7*Instrucciones!$J$2,E7&lt;&gt;"Tarjeta de Crédito",0)</f>
        <v>0</v>
      </c>
      <c r="N7" s="15">
        <f t="shared" si="3"/>
        <v>700</v>
      </c>
      <c r="O7" s="13" t="str">
        <f t="shared" si="4"/>
        <v>Ticket Estandar</v>
      </c>
    </row>
    <row r="8">
      <c r="A8" s="9" t="s">
        <v>81</v>
      </c>
      <c r="B8" s="9" t="s">
        <v>53</v>
      </c>
      <c r="C8" s="9" t="s">
        <v>61</v>
      </c>
      <c r="D8" s="9" t="s">
        <v>72</v>
      </c>
      <c r="E8" s="9" t="s">
        <v>70</v>
      </c>
      <c r="F8" s="9">
        <v>1.0</v>
      </c>
      <c r="G8" s="13" t="str">
        <f t="array" ref="G8:J8">XLOOKUP(C8,DimProductos[ID_Producto],DimProductos[[Producto]:[Precio_Lista]])</f>
        <v>Auriculares Noise Cancelling</v>
      </c>
      <c r="H8" s="13" t="s">
        <v>63</v>
      </c>
      <c r="I8" s="14">
        <v>1600.0</v>
      </c>
      <c r="J8" s="14">
        <v>3199.0</v>
      </c>
      <c r="K8" s="13">
        <f t="shared" si="1"/>
        <v>3199</v>
      </c>
      <c r="L8" s="13">
        <f t="shared" si="2"/>
        <v>1600</v>
      </c>
      <c r="M8" s="15">
        <f>IFS(E8="Tarjeta de Crédito",J8*Instrucciones!$J$2,E8&lt;&gt;"Tarjeta de Crédito",0)</f>
        <v>0</v>
      </c>
      <c r="N8" s="15">
        <f t="shared" si="3"/>
        <v>1599</v>
      </c>
      <c r="O8" s="13" t="str">
        <f t="shared" si="4"/>
        <v>Ticket alto valor</v>
      </c>
    </row>
    <row r="9">
      <c r="A9" s="9" t="s">
        <v>82</v>
      </c>
      <c r="B9" s="9" t="s">
        <v>53</v>
      </c>
      <c r="C9" s="9" t="s">
        <v>33</v>
      </c>
      <c r="D9" s="9" t="s">
        <v>69</v>
      </c>
      <c r="E9" s="9" t="s">
        <v>70</v>
      </c>
      <c r="F9" s="9">
        <v>1.0</v>
      </c>
      <c r="G9" s="13" t="str">
        <f t="array" ref="G9:J9">XLOOKUP(C9,DimProductos[ID_Producto],DimProductos[[Producto]:[Precio_Lista]])</f>
        <v>Monitor Curvo 27"</v>
      </c>
      <c r="H9" s="13" t="s">
        <v>36</v>
      </c>
      <c r="I9" s="14">
        <v>2800.0</v>
      </c>
      <c r="J9" s="14">
        <v>4999.0</v>
      </c>
      <c r="K9" s="13">
        <f t="shared" si="1"/>
        <v>4999</v>
      </c>
      <c r="L9" s="13">
        <f t="shared" si="2"/>
        <v>2800</v>
      </c>
      <c r="M9" s="15">
        <f>IFS(E9="Tarjeta de Crédito",J9*Instrucciones!$J$2,E9&lt;&gt;"Tarjeta de Crédito",0)</f>
        <v>0</v>
      </c>
      <c r="N9" s="15">
        <f t="shared" si="3"/>
        <v>2199</v>
      </c>
      <c r="O9" s="13" t="str">
        <f t="shared" si="4"/>
        <v>Ticket alto valor</v>
      </c>
    </row>
    <row r="10">
      <c r="A10" s="9" t="s">
        <v>83</v>
      </c>
      <c r="B10" s="9" t="s">
        <v>53</v>
      </c>
      <c r="C10" s="9" t="s">
        <v>40</v>
      </c>
      <c r="D10" s="9" t="s">
        <v>72</v>
      </c>
      <c r="E10" s="9" t="s">
        <v>73</v>
      </c>
      <c r="F10" s="9">
        <v>1.0</v>
      </c>
      <c r="G10" s="13" t="str">
        <f t="array" ref="G10:J10">XLOOKUP(C10,DimProductos[ID_Producto],DimProductos[[Producto]:[Precio_Lista]])</f>
        <v>Teclado Mecánico RGB</v>
      </c>
      <c r="H10" s="13" t="s">
        <v>43</v>
      </c>
      <c r="I10" s="14">
        <v>650.0</v>
      </c>
      <c r="J10" s="14">
        <v>1350.0</v>
      </c>
      <c r="K10" s="13">
        <f t="shared" si="1"/>
        <v>1350</v>
      </c>
      <c r="L10" s="13">
        <f t="shared" si="2"/>
        <v>650</v>
      </c>
      <c r="M10" s="15">
        <f>IFS(E10="Tarjeta de Crédito",J10*Instrucciones!$J$2,E10&lt;&gt;"Tarjeta de Crédito",0)</f>
        <v>0</v>
      </c>
      <c r="N10" s="15">
        <f t="shared" si="3"/>
        <v>700</v>
      </c>
      <c r="O10" s="13" t="str">
        <f t="shared" si="4"/>
        <v>Ticket Estandar</v>
      </c>
    </row>
    <row r="11">
      <c r="A11" s="9" t="s">
        <v>84</v>
      </c>
      <c r="B11" s="9" t="s">
        <v>53</v>
      </c>
      <c r="C11" s="9" t="s">
        <v>65</v>
      </c>
      <c r="D11" s="9" t="s">
        <v>79</v>
      </c>
      <c r="E11" s="9" t="s">
        <v>58</v>
      </c>
      <c r="F11" s="9">
        <v>1.0</v>
      </c>
      <c r="G11" s="13" t="str">
        <f t="array" ref="G11:J11">XLOOKUP(C11,DimProductos[ID_Producto],DimProductos[[Producto]:[Precio_Lista]])</f>
        <v>Silla Ergonómica Pro</v>
      </c>
      <c r="H11" s="13" t="s">
        <v>67</v>
      </c>
      <c r="I11" s="14">
        <v>3200.0</v>
      </c>
      <c r="J11" s="14">
        <v>5699.0</v>
      </c>
      <c r="K11" s="13">
        <f t="shared" si="1"/>
        <v>5699</v>
      </c>
      <c r="L11" s="13">
        <f t="shared" si="2"/>
        <v>3200</v>
      </c>
      <c r="M11" s="15">
        <f>IFS(E11="Tarjeta de Crédito",J11*Instrucciones!$J$2,E11&lt;&gt;"Tarjeta de Crédito",0)</f>
        <v>0</v>
      </c>
      <c r="N11" s="15">
        <f t="shared" si="3"/>
        <v>2499</v>
      </c>
      <c r="O11" s="13" t="str">
        <f t="shared" si="4"/>
        <v>Ticket alto valor</v>
      </c>
    </row>
    <row r="12">
      <c r="A12" s="9" t="s">
        <v>85</v>
      </c>
      <c r="B12" s="9" t="s">
        <v>53</v>
      </c>
      <c r="C12" s="9" t="s">
        <v>65</v>
      </c>
      <c r="D12" s="9" t="s">
        <v>57</v>
      </c>
      <c r="E12" s="9" t="s">
        <v>77</v>
      </c>
      <c r="F12" s="9">
        <v>1.0</v>
      </c>
      <c r="G12" s="13" t="str">
        <f t="array" ref="G12:J12">XLOOKUP(C12,DimProductos[ID_Producto],DimProductos[[Producto]:[Precio_Lista]])</f>
        <v>Silla Ergonómica Pro</v>
      </c>
      <c r="H12" s="13" t="s">
        <v>67</v>
      </c>
      <c r="I12" s="14">
        <v>3200.0</v>
      </c>
      <c r="J12" s="14">
        <v>5699.0</v>
      </c>
      <c r="K12" s="13">
        <f t="shared" si="1"/>
        <v>5699</v>
      </c>
      <c r="L12" s="13">
        <f t="shared" si="2"/>
        <v>3200</v>
      </c>
      <c r="M12" s="15">
        <f>IFS(E12="Tarjeta de Crédito",J12*Instrucciones!$J$2,E12&lt;&gt;"Tarjeta de Crédito",0)</f>
        <v>199.465</v>
      </c>
      <c r="N12" s="15">
        <f t="shared" si="3"/>
        <v>2299.535</v>
      </c>
      <c r="O12" s="13" t="str">
        <f t="shared" si="4"/>
        <v>Ticket alto valor</v>
      </c>
    </row>
    <row r="13">
      <c r="A13" s="9" t="s">
        <v>86</v>
      </c>
      <c r="B13" s="9" t="s">
        <v>53</v>
      </c>
      <c r="C13" s="9" t="s">
        <v>33</v>
      </c>
      <c r="D13" s="9" t="s">
        <v>72</v>
      </c>
      <c r="E13" s="9" t="s">
        <v>73</v>
      </c>
      <c r="F13" s="9">
        <v>2.0</v>
      </c>
      <c r="G13" s="13" t="str">
        <f t="array" ref="G13:J13">XLOOKUP(C13,DimProductos[ID_Producto],DimProductos[[Producto]:[Precio_Lista]])</f>
        <v>Monitor Curvo 27"</v>
      </c>
      <c r="H13" s="13" t="s">
        <v>36</v>
      </c>
      <c r="I13" s="14">
        <v>2800.0</v>
      </c>
      <c r="J13" s="14">
        <v>4999.0</v>
      </c>
      <c r="K13" s="13">
        <f t="shared" si="1"/>
        <v>9998</v>
      </c>
      <c r="L13" s="13">
        <f t="shared" si="2"/>
        <v>5600</v>
      </c>
      <c r="M13" s="15">
        <f>IFS(E13="Tarjeta de Crédito",J13*Instrucciones!$J$2,E13&lt;&gt;"Tarjeta de Crédito",0)</f>
        <v>0</v>
      </c>
      <c r="N13" s="15">
        <f t="shared" si="3"/>
        <v>4398</v>
      </c>
      <c r="O13" s="13" t="str">
        <f t="shared" si="4"/>
        <v>Ticket alto valor</v>
      </c>
    </row>
    <row r="14">
      <c r="A14" s="9" t="s">
        <v>87</v>
      </c>
      <c r="B14" s="9" t="s">
        <v>88</v>
      </c>
      <c r="C14" s="9" t="s">
        <v>59</v>
      </c>
      <c r="D14" s="9" t="s">
        <v>57</v>
      </c>
      <c r="E14" s="9" t="s">
        <v>70</v>
      </c>
      <c r="F14" s="9">
        <v>1.0</v>
      </c>
      <c r="G14" s="13" t="str">
        <f t="array" ref="G14:J14">XLOOKUP(C14,DimProductos[ID_Producto],DimProductos[[Producto]:[Precio_Lista]])</f>
        <v>Laptop Ultrabook 14"</v>
      </c>
      <c r="H14" s="13" t="s">
        <v>56</v>
      </c>
      <c r="I14" s="14">
        <v>11200.0</v>
      </c>
      <c r="J14" s="14">
        <v>17999.0</v>
      </c>
      <c r="K14" s="13">
        <f t="shared" si="1"/>
        <v>17999</v>
      </c>
      <c r="L14" s="13">
        <f t="shared" si="2"/>
        <v>11200</v>
      </c>
      <c r="M14" s="15">
        <f>IFS(E14="Tarjeta de Crédito",J14*Instrucciones!$J$2,E14&lt;&gt;"Tarjeta de Crédito",0)</f>
        <v>0</v>
      </c>
      <c r="N14" s="15">
        <f t="shared" si="3"/>
        <v>6799</v>
      </c>
      <c r="O14" s="13" t="str">
        <f t="shared" si="4"/>
        <v>Ticket alto valor</v>
      </c>
    </row>
    <row r="15">
      <c r="A15" s="9" t="s">
        <v>89</v>
      </c>
      <c r="B15" s="9" t="s">
        <v>88</v>
      </c>
      <c r="C15" s="9" t="s">
        <v>65</v>
      </c>
      <c r="D15" s="9" t="s">
        <v>69</v>
      </c>
      <c r="E15" s="9" t="s">
        <v>73</v>
      </c>
      <c r="F15" s="9">
        <v>2.0</v>
      </c>
      <c r="G15" s="13" t="str">
        <f t="array" ref="G15:J15">XLOOKUP(C15,DimProductos[ID_Producto],DimProductos[[Producto]:[Precio_Lista]])</f>
        <v>Silla Ergonómica Pro</v>
      </c>
      <c r="H15" s="13" t="s">
        <v>67</v>
      </c>
      <c r="I15" s="14">
        <v>3200.0</v>
      </c>
      <c r="J15" s="14">
        <v>5699.0</v>
      </c>
      <c r="K15" s="13">
        <f t="shared" si="1"/>
        <v>11398</v>
      </c>
      <c r="L15" s="13">
        <f t="shared" si="2"/>
        <v>6400</v>
      </c>
      <c r="M15" s="15">
        <f>IFS(E15="Tarjeta de Crédito",J15*Instrucciones!$J$2,E15&lt;&gt;"Tarjeta de Crédito",0)</f>
        <v>0</v>
      </c>
      <c r="N15" s="15">
        <f t="shared" si="3"/>
        <v>4998</v>
      </c>
      <c r="O15" s="13" t="str">
        <f t="shared" si="4"/>
        <v>Ticket alto valor</v>
      </c>
    </row>
    <row r="16">
      <c r="A16" s="9" t="s">
        <v>90</v>
      </c>
      <c r="B16" s="9" t="s">
        <v>88</v>
      </c>
      <c r="C16" s="9" t="s">
        <v>59</v>
      </c>
      <c r="D16" s="9" t="s">
        <v>72</v>
      </c>
      <c r="E16" s="9" t="s">
        <v>70</v>
      </c>
      <c r="F16" s="9">
        <v>3.0</v>
      </c>
      <c r="G16" s="13" t="str">
        <f t="array" ref="G16:J16">XLOOKUP(C16,DimProductos[ID_Producto],DimProductos[[Producto]:[Precio_Lista]])</f>
        <v>Laptop Ultrabook 14"</v>
      </c>
      <c r="H16" s="13" t="s">
        <v>56</v>
      </c>
      <c r="I16" s="14">
        <v>11200.0</v>
      </c>
      <c r="J16" s="14">
        <v>17999.0</v>
      </c>
      <c r="K16" s="13">
        <f t="shared" si="1"/>
        <v>53997</v>
      </c>
      <c r="L16" s="13">
        <f t="shared" si="2"/>
        <v>33600</v>
      </c>
      <c r="M16" s="15">
        <f>IFS(E16="Tarjeta de Crédito",J16*Instrucciones!$J$2,E16&lt;&gt;"Tarjeta de Crédito",0)</f>
        <v>0</v>
      </c>
      <c r="N16" s="15">
        <f t="shared" si="3"/>
        <v>20397</v>
      </c>
      <c r="O16" s="13" t="str">
        <f t="shared" si="4"/>
        <v>Ticket alto valor</v>
      </c>
    </row>
    <row r="17">
      <c r="A17" s="9" t="s">
        <v>91</v>
      </c>
      <c r="B17" s="9" t="s">
        <v>88</v>
      </c>
      <c r="C17" s="9" t="s">
        <v>59</v>
      </c>
      <c r="D17" s="9" t="s">
        <v>69</v>
      </c>
      <c r="E17" s="9" t="s">
        <v>77</v>
      </c>
      <c r="F17" s="9">
        <v>3.0</v>
      </c>
      <c r="G17" s="13" t="str">
        <f t="array" ref="G17:J17">XLOOKUP(C17,DimProductos[ID_Producto],DimProductos[[Producto]:[Precio_Lista]])</f>
        <v>Laptop Ultrabook 14"</v>
      </c>
      <c r="H17" s="13" t="s">
        <v>56</v>
      </c>
      <c r="I17" s="14">
        <v>11200.0</v>
      </c>
      <c r="J17" s="14">
        <v>17999.0</v>
      </c>
      <c r="K17" s="13">
        <f t="shared" si="1"/>
        <v>53997</v>
      </c>
      <c r="L17" s="13">
        <f t="shared" si="2"/>
        <v>33600</v>
      </c>
      <c r="M17" s="15">
        <f>IFS(E17="Tarjeta de Crédito",J17*Instrucciones!$J$2,E17&lt;&gt;"Tarjeta de Crédito",0)</f>
        <v>629.965</v>
      </c>
      <c r="N17" s="15">
        <f t="shared" si="3"/>
        <v>19767.035</v>
      </c>
      <c r="O17" s="13" t="str">
        <f t="shared" si="4"/>
        <v>Ticket alto valor</v>
      </c>
    </row>
    <row r="18">
      <c r="A18" s="9" t="s">
        <v>92</v>
      </c>
      <c r="B18" s="9" t="s">
        <v>88</v>
      </c>
      <c r="C18" s="9" t="s">
        <v>33</v>
      </c>
      <c r="D18" s="9" t="s">
        <v>72</v>
      </c>
      <c r="E18" s="9" t="s">
        <v>70</v>
      </c>
      <c r="F18" s="9">
        <v>1.0</v>
      </c>
      <c r="G18" s="13" t="str">
        <f t="array" ref="G18:J18">XLOOKUP(C18,DimProductos[ID_Producto],DimProductos[[Producto]:[Precio_Lista]])</f>
        <v>Monitor Curvo 27"</v>
      </c>
      <c r="H18" s="13" t="s">
        <v>36</v>
      </c>
      <c r="I18" s="14">
        <v>2800.0</v>
      </c>
      <c r="J18" s="14">
        <v>4999.0</v>
      </c>
      <c r="K18" s="13">
        <f t="shared" si="1"/>
        <v>4999</v>
      </c>
      <c r="L18" s="13">
        <f t="shared" si="2"/>
        <v>2800</v>
      </c>
      <c r="M18" s="15">
        <f>IFS(E18="Tarjeta de Crédito",J18*Instrucciones!$J$2,E18&lt;&gt;"Tarjeta de Crédito",0)</f>
        <v>0</v>
      </c>
      <c r="N18" s="15">
        <f t="shared" si="3"/>
        <v>2199</v>
      </c>
      <c r="O18" s="13" t="str">
        <f t="shared" si="4"/>
        <v>Ticket alto valor</v>
      </c>
    </row>
    <row r="19">
      <c r="A19" s="9" t="s">
        <v>93</v>
      </c>
      <c r="B19" s="9" t="s">
        <v>88</v>
      </c>
      <c r="C19" s="9" t="s">
        <v>40</v>
      </c>
      <c r="D19" s="9" t="s">
        <v>69</v>
      </c>
      <c r="E19" s="9" t="s">
        <v>70</v>
      </c>
      <c r="F19" s="9">
        <v>1.0</v>
      </c>
      <c r="G19" s="13" t="str">
        <f t="array" ref="G19:J19">XLOOKUP(C19,DimProductos[ID_Producto],DimProductos[[Producto]:[Precio_Lista]])</f>
        <v>Teclado Mecánico RGB</v>
      </c>
      <c r="H19" s="13" t="s">
        <v>43</v>
      </c>
      <c r="I19" s="14">
        <v>650.0</v>
      </c>
      <c r="J19" s="14">
        <v>1350.0</v>
      </c>
      <c r="K19" s="13">
        <f t="shared" si="1"/>
        <v>1350</v>
      </c>
      <c r="L19" s="13">
        <f t="shared" si="2"/>
        <v>650</v>
      </c>
      <c r="M19" s="15">
        <f>IFS(E19="Tarjeta de Crédito",J19*Instrucciones!$J$2,E19&lt;&gt;"Tarjeta de Crédito",0)</f>
        <v>0</v>
      </c>
      <c r="N19" s="15">
        <f t="shared" si="3"/>
        <v>700</v>
      </c>
      <c r="O19" s="13" t="str">
        <f t="shared" si="4"/>
        <v>Ticket Estandar</v>
      </c>
    </row>
    <row r="20">
      <c r="A20" s="9" t="s">
        <v>94</v>
      </c>
      <c r="B20" s="9" t="s">
        <v>88</v>
      </c>
      <c r="C20" s="9" t="s">
        <v>65</v>
      </c>
      <c r="D20" s="9" t="s">
        <v>57</v>
      </c>
      <c r="E20" s="9" t="s">
        <v>58</v>
      </c>
      <c r="F20" s="9">
        <v>1.0</v>
      </c>
      <c r="G20" s="13" t="str">
        <f t="array" ref="G20:J20">XLOOKUP(C20,DimProductos[ID_Producto],DimProductos[[Producto]:[Precio_Lista]])</f>
        <v>Silla Ergonómica Pro</v>
      </c>
      <c r="H20" s="13" t="s">
        <v>67</v>
      </c>
      <c r="I20" s="14">
        <v>3200.0</v>
      </c>
      <c r="J20" s="14">
        <v>5699.0</v>
      </c>
      <c r="K20" s="13">
        <f t="shared" si="1"/>
        <v>5699</v>
      </c>
      <c r="L20" s="13">
        <f t="shared" si="2"/>
        <v>3200</v>
      </c>
      <c r="M20" s="15">
        <f>IFS(E20="Tarjeta de Crédito",J20*Instrucciones!$J$2,E20&lt;&gt;"Tarjeta de Crédito",0)</f>
        <v>0</v>
      </c>
      <c r="N20" s="15">
        <f t="shared" si="3"/>
        <v>2499</v>
      </c>
      <c r="O20" s="13" t="str">
        <f t="shared" si="4"/>
        <v>Ticket alto valor</v>
      </c>
    </row>
    <row r="21" ht="15.75" customHeight="1">
      <c r="A21" s="9" t="s">
        <v>95</v>
      </c>
      <c r="B21" s="9" t="s">
        <v>88</v>
      </c>
      <c r="C21" s="9" t="s">
        <v>52</v>
      </c>
      <c r="D21" s="9" t="s">
        <v>72</v>
      </c>
      <c r="E21" s="9" t="s">
        <v>58</v>
      </c>
      <c r="F21" s="9">
        <v>1.0</v>
      </c>
      <c r="G21" s="13" t="str">
        <f t="array" ref="G21:J21">XLOOKUP(C21,DimProductos[ID_Producto],DimProductos[[Producto]:[Precio_Lista]])</f>
        <v>Laptop Gamer 16GB</v>
      </c>
      <c r="H21" s="13" t="s">
        <v>56</v>
      </c>
      <c r="I21" s="14">
        <v>14500.0</v>
      </c>
      <c r="J21" s="14">
        <v>22499.0</v>
      </c>
      <c r="K21" s="13">
        <f t="shared" si="1"/>
        <v>22499</v>
      </c>
      <c r="L21" s="13">
        <f t="shared" si="2"/>
        <v>14500</v>
      </c>
      <c r="M21" s="15">
        <f>IFS(E21="Tarjeta de Crédito",J21*Instrucciones!$J$2,E21&lt;&gt;"Tarjeta de Crédito",0)</f>
        <v>0</v>
      </c>
      <c r="N21" s="15">
        <f t="shared" si="3"/>
        <v>7999</v>
      </c>
      <c r="O21" s="13" t="str">
        <f t="shared" si="4"/>
        <v>Ticket alto valor</v>
      </c>
    </row>
    <row r="22" ht="15.75" customHeight="1">
      <c r="A22" s="9" t="s">
        <v>96</v>
      </c>
      <c r="B22" s="9" t="s">
        <v>88</v>
      </c>
      <c r="C22" s="9" t="s">
        <v>46</v>
      </c>
      <c r="D22" s="9" t="s">
        <v>69</v>
      </c>
      <c r="E22" s="9" t="s">
        <v>73</v>
      </c>
      <c r="F22" s="9">
        <v>1.0</v>
      </c>
      <c r="G22" s="13" t="str">
        <f t="array" ref="G22:J22">XLOOKUP(C22,DimProductos[ID_Producto],DimProductos[[Producto]:[Precio_Lista]])</f>
        <v>Mouse Inalámbrico Pro</v>
      </c>
      <c r="H22" s="13" t="s">
        <v>43</v>
      </c>
      <c r="I22" s="14">
        <v>420.0</v>
      </c>
      <c r="J22" s="14">
        <v>899.0</v>
      </c>
      <c r="K22" s="13">
        <f t="shared" si="1"/>
        <v>899</v>
      </c>
      <c r="L22" s="13">
        <f t="shared" si="2"/>
        <v>420</v>
      </c>
      <c r="M22" s="15">
        <f>IFS(E22="Tarjeta de Crédito",J22*Instrucciones!$J$2,E22&lt;&gt;"Tarjeta de Crédito",0)</f>
        <v>0</v>
      </c>
      <c r="N22" s="15">
        <f t="shared" si="3"/>
        <v>479</v>
      </c>
      <c r="O22" s="13" t="str">
        <f t="shared" si="4"/>
        <v>Ticket Estandar</v>
      </c>
    </row>
    <row r="23" ht="15.75" customHeight="1">
      <c r="A23" s="9" t="s">
        <v>97</v>
      </c>
      <c r="B23" s="9" t="s">
        <v>88</v>
      </c>
      <c r="C23" s="9" t="s">
        <v>65</v>
      </c>
      <c r="D23" s="9" t="s">
        <v>57</v>
      </c>
      <c r="E23" s="9" t="s">
        <v>77</v>
      </c>
      <c r="F23" s="9">
        <v>1.0</v>
      </c>
      <c r="G23" s="13" t="str">
        <f t="array" ref="G23:J23">XLOOKUP(C23,DimProductos[ID_Producto],DimProductos[[Producto]:[Precio_Lista]])</f>
        <v>Silla Ergonómica Pro</v>
      </c>
      <c r="H23" s="13" t="s">
        <v>67</v>
      </c>
      <c r="I23" s="14">
        <v>3200.0</v>
      </c>
      <c r="J23" s="14">
        <v>5699.0</v>
      </c>
      <c r="K23" s="13">
        <f t="shared" si="1"/>
        <v>5699</v>
      </c>
      <c r="L23" s="13">
        <f t="shared" si="2"/>
        <v>3200</v>
      </c>
      <c r="M23" s="15">
        <f>IFS(E23="Tarjeta de Crédito",J23*Instrucciones!$J$2,E23&lt;&gt;"Tarjeta de Crédito",0)</f>
        <v>199.465</v>
      </c>
      <c r="N23" s="15">
        <f t="shared" si="3"/>
        <v>2299.535</v>
      </c>
      <c r="O23" s="13" t="str">
        <f t="shared" si="4"/>
        <v>Ticket alto valor</v>
      </c>
    </row>
    <row r="24" ht="15.75" customHeight="1">
      <c r="A24" s="9" t="s">
        <v>98</v>
      </c>
      <c r="B24" s="9" t="s">
        <v>99</v>
      </c>
      <c r="C24" s="9" t="s">
        <v>40</v>
      </c>
      <c r="D24" s="9" t="s">
        <v>57</v>
      </c>
      <c r="E24" s="9" t="s">
        <v>73</v>
      </c>
      <c r="F24" s="9">
        <v>1.0</v>
      </c>
      <c r="G24" s="13" t="str">
        <f t="array" ref="G24:J24">XLOOKUP(C24,DimProductos[ID_Producto],DimProductos[[Producto]:[Precio_Lista]])</f>
        <v>Teclado Mecánico RGB</v>
      </c>
      <c r="H24" s="13" t="s">
        <v>43</v>
      </c>
      <c r="I24" s="14">
        <v>650.0</v>
      </c>
      <c r="J24" s="14">
        <v>1350.0</v>
      </c>
      <c r="K24" s="13">
        <f t="shared" si="1"/>
        <v>1350</v>
      </c>
      <c r="L24" s="13">
        <f t="shared" si="2"/>
        <v>650</v>
      </c>
      <c r="M24" s="15">
        <f>IFS(E24="Tarjeta de Crédito",J24*Instrucciones!$J$2,E24&lt;&gt;"Tarjeta de Crédito",0)</f>
        <v>0</v>
      </c>
      <c r="N24" s="15">
        <f t="shared" si="3"/>
        <v>700</v>
      </c>
      <c r="O24" s="13" t="str">
        <f t="shared" si="4"/>
        <v>Ticket Estandar</v>
      </c>
    </row>
    <row r="25" ht="15.75" customHeight="1">
      <c r="A25" s="9" t="s">
        <v>100</v>
      </c>
      <c r="B25" s="9" t="s">
        <v>99</v>
      </c>
      <c r="C25" s="9" t="s">
        <v>59</v>
      </c>
      <c r="D25" s="9" t="s">
        <v>72</v>
      </c>
      <c r="E25" s="9" t="s">
        <v>58</v>
      </c>
      <c r="F25" s="9">
        <v>1.0</v>
      </c>
      <c r="G25" s="13" t="str">
        <f t="array" ref="G25:J25">XLOOKUP(C25,DimProductos[ID_Producto],DimProductos[[Producto]:[Precio_Lista]])</f>
        <v>Laptop Ultrabook 14"</v>
      </c>
      <c r="H25" s="13" t="s">
        <v>56</v>
      </c>
      <c r="I25" s="14">
        <v>11200.0</v>
      </c>
      <c r="J25" s="14">
        <v>17999.0</v>
      </c>
      <c r="K25" s="13">
        <f t="shared" si="1"/>
        <v>17999</v>
      </c>
      <c r="L25" s="13">
        <f t="shared" si="2"/>
        <v>11200</v>
      </c>
      <c r="M25" s="15">
        <f>IFS(E25="Tarjeta de Crédito",J25*Instrucciones!$J$2,E25&lt;&gt;"Tarjeta de Crédito",0)</f>
        <v>0</v>
      </c>
      <c r="N25" s="15">
        <f t="shared" si="3"/>
        <v>6799</v>
      </c>
      <c r="O25" s="13" t="str">
        <f t="shared" si="4"/>
        <v>Ticket alto valor</v>
      </c>
    </row>
    <row r="26" ht="15.75" customHeight="1">
      <c r="A26" s="9" t="s">
        <v>101</v>
      </c>
      <c r="B26" s="9" t="s">
        <v>99</v>
      </c>
      <c r="C26" s="9" t="s">
        <v>52</v>
      </c>
      <c r="D26" s="9" t="s">
        <v>57</v>
      </c>
      <c r="E26" s="9" t="s">
        <v>77</v>
      </c>
      <c r="F26" s="9">
        <v>2.0</v>
      </c>
      <c r="G26" s="13" t="str">
        <f t="array" ref="G26:J26">XLOOKUP(C26,DimProductos[ID_Producto],DimProductos[[Producto]:[Precio_Lista]])</f>
        <v>Laptop Gamer 16GB</v>
      </c>
      <c r="H26" s="13" t="s">
        <v>56</v>
      </c>
      <c r="I26" s="14">
        <v>14500.0</v>
      </c>
      <c r="J26" s="14">
        <v>22499.0</v>
      </c>
      <c r="K26" s="13">
        <f t="shared" si="1"/>
        <v>44998</v>
      </c>
      <c r="L26" s="13">
        <f t="shared" si="2"/>
        <v>29000</v>
      </c>
      <c r="M26" s="15">
        <f>IFS(E26="Tarjeta de Crédito",J26*Instrucciones!$J$2,E26&lt;&gt;"Tarjeta de Crédito",0)</f>
        <v>787.465</v>
      </c>
      <c r="N26" s="15">
        <f t="shared" si="3"/>
        <v>15210.535</v>
      </c>
      <c r="O26" s="13" t="str">
        <f t="shared" si="4"/>
        <v>Ticket alto valor</v>
      </c>
    </row>
    <row r="27" ht="15.75" customHeight="1">
      <c r="A27" s="9" t="s">
        <v>102</v>
      </c>
      <c r="B27" s="9" t="s">
        <v>99</v>
      </c>
      <c r="C27" s="9" t="s">
        <v>33</v>
      </c>
      <c r="D27" s="9" t="s">
        <v>79</v>
      </c>
      <c r="E27" s="9" t="s">
        <v>58</v>
      </c>
      <c r="F27" s="9">
        <v>1.0</v>
      </c>
      <c r="G27" s="13" t="str">
        <f t="array" ref="G27:J27">XLOOKUP(C27,DimProductos[ID_Producto],DimProductos[[Producto]:[Precio_Lista]])</f>
        <v>Monitor Curvo 27"</v>
      </c>
      <c r="H27" s="13" t="s">
        <v>36</v>
      </c>
      <c r="I27" s="14">
        <v>2800.0</v>
      </c>
      <c r="J27" s="14">
        <v>4999.0</v>
      </c>
      <c r="K27" s="13">
        <f t="shared" si="1"/>
        <v>4999</v>
      </c>
      <c r="L27" s="13">
        <f t="shared" si="2"/>
        <v>2800</v>
      </c>
      <c r="M27" s="15">
        <f>IFS(E27="Tarjeta de Crédito",J27*Instrucciones!$J$2,E27&lt;&gt;"Tarjeta de Crédito",0)</f>
        <v>0</v>
      </c>
      <c r="N27" s="15">
        <f t="shared" si="3"/>
        <v>2199</v>
      </c>
      <c r="O27" s="13" t="str">
        <f t="shared" si="4"/>
        <v>Ticket alto valor</v>
      </c>
    </row>
    <row r="28" ht="15.75" customHeight="1">
      <c r="A28" s="9" t="s">
        <v>103</v>
      </c>
      <c r="B28" s="9" t="s">
        <v>99</v>
      </c>
      <c r="C28" s="9" t="s">
        <v>65</v>
      </c>
      <c r="D28" s="9" t="s">
        <v>57</v>
      </c>
      <c r="E28" s="9" t="s">
        <v>58</v>
      </c>
      <c r="F28" s="9">
        <v>3.0</v>
      </c>
      <c r="G28" s="13" t="str">
        <f t="array" ref="G28:J28">XLOOKUP(C28,DimProductos[ID_Producto],DimProductos[[Producto]:[Precio_Lista]])</f>
        <v>Silla Ergonómica Pro</v>
      </c>
      <c r="H28" s="13" t="s">
        <v>67</v>
      </c>
      <c r="I28" s="14">
        <v>3200.0</v>
      </c>
      <c r="J28" s="14">
        <v>5699.0</v>
      </c>
      <c r="K28" s="13">
        <f t="shared" si="1"/>
        <v>17097</v>
      </c>
      <c r="L28" s="13">
        <f t="shared" si="2"/>
        <v>9600</v>
      </c>
      <c r="M28" s="15">
        <f>IFS(E28="Tarjeta de Crédito",J28*Instrucciones!$J$2,E28&lt;&gt;"Tarjeta de Crédito",0)</f>
        <v>0</v>
      </c>
      <c r="N28" s="15">
        <f t="shared" si="3"/>
        <v>7497</v>
      </c>
      <c r="O28" s="13" t="str">
        <f t="shared" si="4"/>
        <v>Ticket alto valor</v>
      </c>
    </row>
    <row r="29" ht="15.75" customHeight="1">
      <c r="A29" s="9" t="s">
        <v>104</v>
      </c>
      <c r="B29" s="9" t="s">
        <v>99</v>
      </c>
      <c r="C29" s="9" t="s">
        <v>65</v>
      </c>
      <c r="D29" s="9" t="s">
        <v>79</v>
      </c>
      <c r="E29" s="9" t="s">
        <v>58</v>
      </c>
      <c r="F29" s="9">
        <v>1.0</v>
      </c>
      <c r="G29" s="13" t="str">
        <f t="array" ref="G29:J29">XLOOKUP(C29,DimProductos[ID_Producto],DimProductos[[Producto]:[Precio_Lista]])</f>
        <v>Silla Ergonómica Pro</v>
      </c>
      <c r="H29" s="13" t="s">
        <v>67</v>
      </c>
      <c r="I29" s="14">
        <v>3200.0</v>
      </c>
      <c r="J29" s="14">
        <v>5699.0</v>
      </c>
      <c r="K29" s="13">
        <f t="shared" si="1"/>
        <v>5699</v>
      </c>
      <c r="L29" s="13">
        <f t="shared" si="2"/>
        <v>3200</v>
      </c>
      <c r="M29" s="15">
        <f>IFS(E29="Tarjeta de Crédito",J29*Instrucciones!$J$2,E29&lt;&gt;"Tarjeta de Crédito",0)</f>
        <v>0</v>
      </c>
      <c r="N29" s="15">
        <f t="shared" si="3"/>
        <v>2499</v>
      </c>
      <c r="O29" s="13" t="str">
        <f t="shared" si="4"/>
        <v>Ticket alto valor</v>
      </c>
    </row>
    <row r="30" ht="15.75" customHeight="1">
      <c r="A30" s="9" t="s">
        <v>105</v>
      </c>
      <c r="B30" s="9" t="s">
        <v>99</v>
      </c>
      <c r="C30" s="9" t="s">
        <v>61</v>
      </c>
      <c r="D30" s="9" t="s">
        <v>79</v>
      </c>
      <c r="E30" s="9" t="s">
        <v>58</v>
      </c>
      <c r="F30" s="9">
        <v>1.0</v>
      </c>
      <c r="G30" s="13" t="str">
        <f t="array" ref="G30:J30">XLOOKUP(C30,DimProductos[ID_Producto],DimProductos[[Producto]:[Precio_Lista]])</f>
        <v>Auriculares Noise Cancelling</v>
      </c>
      <c r="H30" s="13" t="s">
        <v>63</v>
      </c>
      <c r="I30" s="14">
        <v>1600.0</v>
      </c>
      <c r="J30" s="14">
        <v>3199.0</v>
      </c>
      <c r="K30" s="13">
        <f t="shared" si="1"/>
        <v>3199</v>
      </c>
      <c r="L30" s="13">
        <f t="shared" si="2"/>
        <v>1600</v>
      </c>
      <c r="M30" s="15">
        <f>IFS(E30="Tarjeta de Crédito",J30*Instrucciones!$J$2,E30&lt;&gt;"Tarjeta de Crédito",0)</f>
        <v>0</v>
      </c>
      <c r="N30" s="15">
        <f t="shared" si="3"/>
        <v>1599</v>
      </c>
      <c r="O30" s="13" t="str">
        <f t="shared" si="4"/>
        <v>Ticket alto valor</v>
      </c>
    </row>
    <row r="31" ht="15.75" customHeight="1">
      <c r="A31" s="9" t="s">
        <v>106</v>
      </c>
      <c r="B31" s="9" t="s">
        <v>99</v>
      </c>
      <c r="C31" s="9" t="s">
        <v>59</v>
      </c>
      <c r="D31" s="9" t="s">
        <v>79</v>
      </c>
      <c r="E31" s="9" t="s">
        <v>58</v>
      </c>
      <c r="F31" s="9">
        <v>2.0</v>
      </c>
      <c r="G31" s="13" t="str">
        <f t="array" ref="G31:J31">XLOOKUP(C31,DimProductos[ID_Producto],DimProductos[[Producto]:[Precio_Lista]])</f>
        <v>Laptop Ultrabook 14"</v>
      </c>
      <c r="H31" s="13" t="s">
        <v>56</v>
      </c>
      <c r="I31" s="14">
        <v>11200.0</v>
      </c>
      <c r="J31" s="14">
        <v>17999.0</v>
      </c>
      <c r="K31" s="13">
        <f t="shared" si="1"/>
        <v>35998</v>
      </c>
      <c r="L31" s="13">
        <f t="shared" si="2"/>
        <v>22400</v>
      </c>
      <c r="M31" s="15">
        <f>IFS(E31="Tarjeta de Crédito",J31*Instrucciones!$J$2,E31&lt;&gt;"Tarjeta de Crédito",0)</f>
        <v>0</v>
      </c>
      <c r="N31" s="15">
        <f t="shared" si="3"/>
        <v>13598</v>
      </c>
      <c r="O31" s="13" t="str">
        <f t="shared" si="4"/>
        <v>Ticket alto valor</v>
      </c>
    </row>
    <row r="32" ht="15.75" customHeight="1">
      <c r="A32" s="9" t="s">
        <v>107</v>
      </c>
      <c r="B32" s="9" t="s">
        <v>99</v>
      </c>
      <c r="C32" s="9" t="s">
        <v>40</v>
      </c>
      <c r="D32" s="9" t="s">
        <v>79</v>
      </c>
      <c r="E32" s="9" t="s">
        <v>70</v>
      </c>
      <c r="F32" s="9">
        <v>3.0</v>
      </c>
      <c r="G32" s="13" t="str">
        <f t="array" ref="G32:J32">XLOOKUP(C32,DimProductos[ID_Producto],DimProductos[[Producto]:[Precio_Lista]])</f>
        <v>Teclado Mecánico RGB</v>
      </c>
      <c r="H32" s="13" t="s">
        <v>43</v>
      </c>
      <c r="I32" s="14">
        <v>650.0</v>
      </c>
      <c r="J32" s="14">
        <v>1350.0</v>
      </c>
      <c r="K32" s="13">
        <f t="shared" si="1"/>
        <v>4050</v>
      </c>
      <c r="L32" s="13">
        <f t="shared" si="2"/>
        <v>1950</v>
      </c>
      <c r="M32" s="15">
        <f>IFS(E32="Tarjeta de Crédito",J32*Instrucciones!$J$2,E32&lt;&gt;"Tarjeta de Crédito",0)</f>
        <v>0</v>
      </c>
      <c r="N32" s="15">
        <f t="shared" si="3"/>
        <v>2100</v>
      </c>
      <c r="O32" s="13" t="str">
        <f t="shared" si="4"/>
        <v>Ticket alto valor</v>
      </c>
    </row>
    <row r="33" ht="15.75" customHeight="1">
      <c r="A33" s="9" t="s">
        <v>108</v>
      </c>
      <c r="B33" s="9" t="s">
        <v>99</v>
      </c>
      <c r="C33" s="9" t="s">
        <v>52</v>
      </c>
      <c r="D33" s="9" t="s">
        <v>57</v>
      </c>
      <c r="E33" s="9" t="s">
        <v>58</v>
      </c>
      <c r="F33" s="9">
        <v>2.0</v>
      </c>
      <c r="G33" s="13" t="str">
        <f t="array" ref="G33:J33">XLOOKUP(C33,DimProductos[ID_Producto],DimProductos[[Producto]:[Precio_Lista]])</f>
        <v>Laptop Gamer 16GB</v>
      </c>
      <c r="H33" s="13" t="s">
        <v>56</v>
      </c>
      <c r="I33" s="14">
        <v>14500.0</v>
      </c>
      <c r="J33" s="14">
        <v>22499.0</v>
      </c>
      <c r="K33" s="13">
        <f t="shared" si="1"/>
        <v>44998</v>
      </c>
      <c r="L33" s="13">
        <f t="shared" si="2"/>
        <v>29000</v>
      </c>
      <c r="M33" s="15">
        <f>IFS(E33="Tarjeta de Crédito",J33*Instrucciones!$J$2,E33&lt;&gt;"Tarjeta de Crédito",0)</f>
        <v>0</v>
      </c>
      <c r="N33" s="15">
        <f t="shared" si="3"/>
        <v>15998</v>
      </c>
      <c r="O33" s="13" t="str">
        <f t="shared" si="4"/>
        <v>Ticket alto valor</v>
      </c>
    </row>
    <row r="34" ht="15.75" customHeight="1">
      <c r="A34" s="9" t="s">
        <v>109</v>
      </c>
      <c r="B34" s="9" t="s">
        <v>99</v>
      </c>
      <c r="C34" s="9" t="s">
        <v>55</v>
      </c>
      <c r="D34" s="9" t="s">
        <v>57</v>
      </c>
      <c r="E34" s="9" t="s">
        <v>77</v>
      </c>
      <c r="F34" s="9">
        <v>1.0</v>
      </c>
      <c r="G34" s="13" t="str">
        <f t="array" ref="G34:J34">XLOOKUP(C34,DimProductos[ID_Producto],DimProductos[[Producto]:[Precio_Lista]])</f>
        <v>Micrófono USB Studio</v>
      </c>
      <c r="H34" s="13" t="s">
        <v>63</v>
      </c>
      <c r="I34" s="14">
        <v>950.0</v>
      </c>
      <c r="J34" s="14">
        <v>1899.0</v>
      </c>
      <c r="K34" s="13">
        <f t="shared" si="1"/>
        <v>1899</v>
      </c>
      <c r="L34" s="13">
        <f t="shared" si="2"/>
        <v>950</v>
      </c>
      <c r="M34" s="15">
        <f>IFS(E34="Tarjeta de Crédito",J34*Instrucciones!$J$2,E34&lt;&gt;"Tarjeta de Crédito",0)</f>
        <v>66.465</v>
      </c>
      <c r="N34" s="15">
        <f t="shared" si="3"/>
        <v>882.535</v>
      </c>
      <c r="O34" s="13" t="str">
        <f t="shared" si="4"/>
        <v>Ticket Estandar</v>
      </c>
    </row>
    <row r="35" ht="15.75" customHeight="1">
      <c r="A35" s="9" t="s">
        <v>110</v>
      </c>
      <c r="B35" s="9" t="s">
        <v>99</v>
      </c>
      <c r="C35" s="9" t="s">
        <v>52</v>
      </c>
      <c r="D35" s="9" t="s">
        <v>69</v>
      </c>
      <c r="E35" s="9" t="s">
        <v>70</v>
      </c>
      <c r="F35" s="9">
        <v>1.0</v>
      </c>
      <c r="G35" s="13" t="str">
        <f t="array" ref="G35:J35">XLOOKUP(C35,DimProductos[ID_Producto],DimProductos[[Producto]:[Precio_Lista]])</f>
        <v>Laptop Gamer 16GB</v>
      </c>
      <c r="H35" s="13" t="s">
        <v>56</v>
      </c>
      <c r="I35" s="14">
        <v>14500.0</v>
      </c>
      <c r="J35" s="14">
        <v>22499.0</v>
      </c>
      <c r="K35" s="13">
        <f t="shared" si="1"/>
        <v>22499</v>
      </c>
      <c r="L35" s="13">
        <f t="shared" si="2"/>
        <v>14500</v>
      </c>
      <c r="M35" s="15">
        <f>IFS(E35="Tarjeta de Crédito",J35*Instrucciones!$J$2,E35&lt;&gt;"Tarjeta de Crédito",0)</f>
        <v>0</v>
      </c>
      <c r="N35" s="15">
        <f t="shared" si="3"/>
        <v>7999</v>
      </c>
      <c r="O35" s="13" t="str">
        <f t="shared" si="4"/>
        <v>Ticket alto valor</v>
      </c>
    </row>
    <row r="36" ht="15.75" customHeight="1">
      <c r="A36" s="9" t="s">
        <v>111</v>
      </c>
      <c r="B36" s="9" t="s">
        <v>99</v>
      </c>
      <c r="C36" s="9" t="s">
        <v>59</v>
      </c>
      <c r="D36" s="9" t="s">
        <v>72</v>
      </c>
      <c r="E36" s="9" t="s">
        <v>77</v>
      </c>
      <c r="F36" s="9">
        <v>1.0</v>
      </c>
      <c r="G36" s="13" t="str">
        <f t="array" ref="G36:J36">XLOOKUP(C36,DimProductos[ID_Producto],DimProductos[[Producto]:[Precio_Lista]])</f>
        <v>Laptop Ultrabook 14"</v>
      </c>
      <c r="H36" s="13" t="s">
        <v>56</v>
      </c>
      <c r="I36" s="14">
        <v>11200.0</v>
      </c>
      <c r="J36" s="14">
        <v>17999.0</v>
      </c>
      <c r="K36" s="13">
        <f t="shared" si="1"/>
        <v>17999</v>
      </c>
      <c r="L36" s="13">
        <f t="shared" si="2"/>
        <v>11200</v>
      </c>
      <c r="M36" s="15">
        <f>IFS(E36="Tarjeta de Crédito",J36*Instrucciones!$J$2,E36&lt;&gt;"Tarjeta de Crédito",0)</f>
        <v>629.965</v>
      </c>
      <c r="N36" s="15">
        <f t="shared" si="3"/>
        <v>6169.035</v>
      </c>
      <c r="O36" s="13" t="str">
        <f t="shared" si="4"/>
        <v>Ticket alto valor</v>
      </c>
    </row>
    <row r="37" ht="15.75" customHeight="1">
      <c r="A37" s="9" t="s">
        <v>112</v>
      </c>
      <c r="B37" s="9" t="s">
        <v>99</v>
      </c>
      <c r="C37" s="9" t="s">
        <v>61</v>
      </c>
      <c r="D37" s="9" t="s">
        <v>69</v>
      </c>
      <c r="E37" s="9" t="s">
        <v>73</v>
      </c>
      <c r="F37" s="9">
        <v>1.0</v>
      </c>
      <c r="G37" s="13" t="str">
        <f t="array" ref="G37:J37">XLOOKUP(C37,DimProductos[ID_Producto],DimProductos[[Producto]:[Precio_Lista]])</f>
        <v>Auriculares Noise Cancelling</v>
      </c>
      <c r="H37" s="13" t="s">
        <v>63</v>
      </c>
      <c r="I37" s="14">
        <v>1600.0</v>
      </c>
      <c r="J37" s="14">
        <v>3199.0</v>
      </c>
      <c r="K37" s="13">
        <f t="shared" si="1"/>
        <v>3199</v>
      </c>
      <c r="L37" s="13">
        <f t="shared" si="2"/>
        <v>1600</v>
      </c>
      <c r="M37" s="15">
        <f>IFS(E37="Tarjeta de Crédito",J37*Instrucciones!$J$2,E37&lt;&gt;"Tarjeta de Crédito",0)</f>
        <v>0</v>
      </c>
      <c r="N37" s="15">
        <f t="shared" si="3"/>
        <v>1599</v>
      </c>
      <c r="O37" s="13" t="str">
        <f t="shared" si="4"/>
        <v>Ticket alto valor</v>
      </c>
    </row>
    <row r="38" ht="15.75" customHeight="1">
      <c r="A38" s="9" t="s">
        <v>113</v>
      </c>
      <c r="B38" s="9" t="s">
        <v>99</v>
      </c>
      <c r="C38" s="9" t="s">
        <v>55</v>
      </c>
      <c r="D38" s="9" t="s">
        <v>57</v>
      </c>
      <c r="E38" s="9" t="s">
        <v>70</v>
      </c>
      <c r="F38" s="9">
        <v>2.0</v>
      </c>
      <c r="G38" s="13" t="str">
        <f t="array" ref="G38:J38">XLOOKUP(C38,DimProductos[ID_Producto],DimProductos[[Producto]:[Precio_Lista]])</f>
        <v>Micrófono USB Studio</v>
      </c>
      <c r="H38" s="13" t="s">
        <v>63</v>
      </c>
      <c r="I38" s="14">
        <v>950.0</v>
      </c>
      <c r="J38" s="14">
        <v>1899.0</v>
      </c>
      <c r="K38" s="13">
        <f t="shared" si="1"/>
        <v>3798</v>
      </c>
      <c r="L38" s="13">
        <f t="shared" si="2"/>
        <v>1900</v>
      </c>
      <c r="M38" s="15">
        <f>IFS(E38="Tarjeta de Crédito",J38*Instrucciones!$J$2,E38&lt;&gt;"Tarjeta de Crédito",0)</f>
        <v>0</v>
      </c>
      <c r="N38" s="15">
        <f t="shared" si="3"/>
        <v>1898</v>
      </c>
      <c r="O38" s="13" t="str">
        <f t="shared" si="4"/>
        <v>Ticket alto valor</v>
      </c>
    </row>
    <row r="39" ht="15.75" customHeight="1">
      <c r="A39" s="9" t="s">
        <v>114</v>
      </c>
      <c r="B39" s="9" t="s">
        <v>99</v>
      </c>
      <c r="C39" s="9" t="s">
        <v>61</v>
      </c>
      <c r="D39" s="9" t="s">
        <v>79</v>
      </c>
      <c r="E39" s="9" t="s">
        <v>70</v>
      </c>
      <c r="F39" s="9">
        <v>2.0</v>
      </c>
      <c r="G39" s="13" t="str">
        <f t="array" ref="G39:J39">XLOOKUP(C39,DimProductos[ID_Producto],DimProductos[[Producto]:[Precio_Lista]])</f>
        <v>Auriculares Noise Cancelling</v>
      </c>
      <c r="H39" s="13" t="s">
        <v>63</v>
      </c>
      <c r="I39" s="14">
        <v>1600.0</v>
      </c>
      <c r="J39" s="14">
        <v>3199.0</v>
      </c>
      <c r="K39" s="13">
        <f t="shared" si="1"/>
        <v>6398</v>
      </c>
      <c r="L39" s="13">
        <f t="shared" si="2"/>
        <v>3200</v>
      </c>
      <c r="M39" s="15">
        <f>IFS(E39="Tarjeta de Crédito",J39*Instrucciones!$J$2,E39&lt;&gt;"Tarjeta de Crédito",0)</f>
        <v>0</v>
      </c>
      <c r="N39" s="15">
        <f t="shared" si="3"/>
        <v>3198</v>
      </c>
      <c r="O39" s="13" t="str">
        <f t="shared" si="4"/>
        <v>Ticket alto valor</v>
      </c>
    </row>
    <row r="40" ht="15.75" customHeight="1">
      <c r="A40" s="9" t="s">
        <v>115</v>
      </c>
      <c r="B40" s="9" t="s">
        <v>99</v>
      </c>
      <c r="C40" s="9" t="s">
        <v>33</v>
      </c>
      <c r="D40" s="9" t="s">
        <v>69</v>
      </c>
      <c r="E40" s="9" t="s">
        <v>73</v>
      </c>
      <c r="F40" s="9">
        <v>2.0</v>
      </c>
      <c r="G40" s="13" t="str">
        <f t="array" ref="G40:J40">XLOOKUP(C40,DimProductos[ID_Producto],DimProductos[[Producto]:[Precio_Lista]])</f>
        <v>Monitor Curvo 27"</v>
      </c>
      <c r="H40" s="13" t="s">
        <v>36</v>
      </c>
      <c r="I40" s="14">
        <v>2800.0</v>
      </c>
      <c r="J40" s="14">
        <v>4999.0</v>
      </c>
      <c r="K40" s="13">
        <f t="shared" si="1"/>
        <v>9998</v>
      </c>
      <c r="L40" s="13">
        <f t="shared" si="2"/>
        <v>5600</v>
      </c>
      <c r="M40" s="15">
        <f>IFS(E40="Tarjeta de Crédito",J40*Instrucciones!$J$2,E40&lt;&gt;"Tarjeta de Crédito",0)</f>
        <v>0</v>
      </c>
      <c r="N40" s="15">
        <f t="shared" si="3"/>
        <v>4398</v>
      </c>
      <c r="O40" s="13" t="str">
        <f t="shared" si="4"/>
        <v>Ticket alto valor</v>
      </c>
    </row>
    <row r="41" ht="15.75" customHeight="1">
      <c r="A41" s="9" t="s">
        <v>116</v>
      </c>
      <c r="B41" s="9" t="s">
        <v>117</v>
      </c>
      <c r="C41" s="9" t="s">
        <v>46</v>
      </c>
      <c r="D41" s="9" t="s">
        <v>57</v>
      </c>
      <c r="E41" s="9" t="s">
        <v>77</v>
      </c>
      <c r="F41" s="9">
        <v>1.0</v>
      </c>
      <c r="G41" s="13" t="str">
        <f t="array" ref="G41:J41">XLOOKUP(C41,DimProductos[ID_Producto],DimProductos[[Producto]:[Precio_Lista]])</f>
        <v>Mouse Inalámbrico Pro</v>
      </c>
      <c r="H41" s="13" t="s">
        <v>43</v>
      </c>
      <c r="I41" s="14">
        <v>420.0</v>
      </c>
      <c r="J41" s="14">
        <v>899.0</v>
      </c>
      <c r="K41" s="13">
        <f t="shared" si="1"/>
        <v>899</v>
      </c>
      <c r="L41" s="13">
        <f t="shared" si="2"/>
        <v>420</v>
      </c>
      <c r="M41" s="15">
        <f>IFS(E41="Tarjeta de Crédito",J41*Instrucciones!$J$2,E41&lt;&gt;"Tarjeta de Crédito",0)</f>
        <v>31.465</v>
      </c>
      <c r="N41" s="15">
        <f t="shared" si="3"/>
        <v>447.535</v>
      </c>
      <c r="O41" s="13" t="str">
        <f t="shared" si="4"/>
        <v>Ticket Estandar</v>
      </c>
    </row>
    <row r="42" ht="15.75" customHeight="1">
      <c r="A42" s="9" t="s">
        <v>118</v>
      </c>
      <c r="B42" s="9" t="s">
        <v>117</v>
      </c>
      <c r="C42" s="9" t="s">
        <v>52</v>
      </c>
      <c r="D42" s="9" t="s">
        <v>79</v>
      </c>
      <c r="E42" s="9" t="s">
        <v>77</v>
      </c>
      <c r="F42" s="9">
        <v>3.0</v>
      </c>
      <c r="G42" s="13" t="str">
        <f t="array" ref="G42:J42">XLOOKUP(C42,DimProductos[ID_Producto],DimProductos[[Producto]:[Precio_Lista]])</f>
        <v>Laptop Gamer 16GB</v>
      </c>
      <c r="H42" s="13" t="s">
        <v>56</v>
      </c>
      <c r="I42" s="14">
        <v>14500.0</v>
      </c>
      <c r="J42" s="14">
        <v>22499.0</v>
      </c>
      <c r="K42" s="13">
        <f t="shared" si="1"/>
        <v>67497</v>
      </c>
      <c r="L42" s="13">
        <f t="shared" si="2"/>
        <v>43500</v>
      </c>
      <c r="M42" s="15">
        <f>IFS(E42="Tarjeta de Crédito",J42*Instrucciones!$J$2,E42&lt;&gt;"Tarjeta de Crédito",0)</f>
        <v>787.465</v>
      </c>
      <c r="N42" s="15">
        <f t="shared" si="3"/>
        <v>23209.535</v>
      </c>
      <c r="O42" s="13" t="str">
        <f t="shared" si="4"/>
        <v>Ticket alto valor</v>
      </c>
    </row>
    <row r="43" ht="15.75" customHeight="1">
      <c r="A43" s="9" t="s">
        <v>119</v>
      </c>
      <c r="B43" s="9" t="s">
        <v>117</v>
      </c>
      <c r="C43" s="9" t="s">
        <v>61</v>
      </c>
      <c r="D43" s="9" t="s">
        <v>69</v>
      </c>
      <c r="E43" s="9" t="s">
        <v>58</v>
      </c>
      <c r="F43" s="9">
        <v>2.0</v>
      </c>
      <c r="G43" s="13" t="str">
        <f t="array" ref="G43:J43">XLOOKUP(C43,DimProductos[ID_Producto],DimProductos[[Producto]:[Precio_Lista]])</f>
        <v>Auriculares Noise Cancelling</v>
      </c>
      <c r="H43" s="13" t="s">
        <v>63</v>
      </c>
      <c r="I43" s="14">
        <v>1600.0</v>
      </c>
      <c r="J43" s="14">
        <v>3199.0</v>
      </c>
      <c r="K43" s="13">
        <f t="shared" si="1"/>
        <v>6398</v>
      </c>
      <c r="L43" s="13">
        <f t="shared" si="2"/>
        <v>3200</v>
      </c>
      <c r="M43" s="15">
        <f>IFS(E43="Tarjeta de Crédito",J43*Instrucciones!$J$2,E43&lt;&gt;"Tarjeta de Crédito",0)</f>
        <v>0</v>
      </c>
      <c r="N43" s="15">
        <f t="shared" si="3"/>
        <v>3198</v>
      </c>
      <c r="O43" s="13" t="str">
        <f t="shared" si="4"/>
        <v>Ticket alto valor</v>
      </c>
    </row>
    <row r="44" ht="15.75" customHeight="1">
      <c r="A44" s="9" t="s">
        <v>120</v>
      </c>
      <c r="B44" s="9" t="s">
        <v>117</v>
      </c>
      <c r="C44" s="9" t="s">
        <v>61</v>
      </c>
      <c r="D44" s="9" t="s">
        <v>69</v>
      </c>
      <c r="E44" s="9" t="s">
        <v>58</v>
      </c>
      <c r="F44" s="9">
        <v>2.0</v>
      </c>
      <c r="G44" s="13" t="str">
        <f t="array" ref="G44:J44">XLOOKUP(C44,DimProductos[ID_Producto],DimProductos[[Producto]:[Precio_Lista]])</f>
        <v>Auriculares Noise Cancelling</v>
      </c>
      <c r="H44" s="13" t="s">
        <v>63</v>
      </c>
      <c r="I44" s="14">
        <v>1600.0</v>
      </c>
      <c r="J44" s="14">
        <v>3199.0</v>
      </c>
      <c r="K44" s="13">
        <f t="shared" si="1"/>
        <v>6398</v>
      </c>
      <c r="L44" s="13">
        <f t="shared" si="2"/>
        <v>3200</v>
      </c>
      <c r="M44" s="15">
        <f>IFS(E44="Tarjeta de Crédito",J44*Instrucciones!$J$2,E44&lt;&gt;"Tarjeta de Crédito",0)</f>
        <v>0</v>
      </c>
      <c r="N44" s="15">
        <f t="shared" si="3"/>
        <v>3198</v>
      </c>
      <c r="O44" s="13" t="str">
        <f t="shared" si="4"/>
        <v>Ticket alto valor</v>
      </c>
    </row>
    <row r="45" ht="15.75" customHeight="1">
      <c r="A45" s="9" t="s">
        <v>121</v>
      </c>
      <c r="B45" s="9" t="s">
        <v>117</v>
      </c>
      <c r="C45" s="9" t="s">
        <v>65</v>
      </c>
      <c r="D45" s="9" t="s">
        <v>72</v>
      </c>
      <c r="E45" s="9" t="s">
        <v>73</v>
      </c>
      <c r="F45" s="9">
        <v>2.0</v>
      </c>
      <c r="G45" s="13" t="str">
        <f t="array" ref="G45:J45">XLOOKUP(C45,DimProductos[ID_Producto],DimProductos[[Producto]:[Precio_Lista]])</f>
        <v>Silla Ergonómica Pro</v>
      </c>
      <c r="H45" s="13" t="s">
        <v>67</v>
      </c>
      <c r="I45" s="14">
        <v>3200.0</v>
      </c>
      <c r="J45" s="14">
        <v>5699.0</v>
      </c>
      <c r="K45" s="13">
        <f t="shared" si="1"/>
        <v>11398</v>
      </c>
      <c r="L45" s="13">
        <f t="shared" si="2"/>
        <v>6400</v>
      </c>
      <c r="M45" s="15">
        <f>IFS(E45="Tarjeta de Crédito",J45*Instrucciones!$J$2,E45&lt;&gt;"Tarjeta de Crédito",0)</f>
        <v>0</v>
      </c>
      <c r="N45" s="15">
        <f t="shared" si="3"/>
        <v>4998</v>
      </c>
      <c r="O45" s="13" t="str">
        <f t="shared" si="4"/>
        <v>Ticket alto valor</v>
      </c>
    </row>
    <row r="46" ht="15.75" customHeight="1">
      <c r="A46" s="9" t="s">
        <v>122</v>
      </c>
      <c r="B46" s="9" t="s">
        <v>117</v>
      </c>
      <c r="C46" s="9" t="s">
        <v>40</v>
      </c>
      <c r="D46" s="9" t="s">
        <v>57</v>
      </c>
      <c r="E46" s="9" t="s">
        <v>58</v>
      </c>
      <c r="F46" s="9">
        <v>2.0</v>
      </c>
      <c r="G46" s="13" t="str">
        <f t="array" ref="G46:J46">XLOOKUP(C46,DimProductos[ID_Producto],DimProductos[[Producto]:[Precio_Lista]])</f>
        <v>Teclado Mecánico RGB</v>
      </c>
      <c r="H46" s="13" t="s">
        <v>43</v>
      </c>
      <c r="I46" s="14">
        <v>650.0</v>
      </c>
      <c r="J46" s="14">
        <v>1350.0</v>
      </c>
      <c r="K46" s="13">
        <f t="shared" si="1"/>
        <v>2700</v>
      </c>
      <c r="L46" s="13">
        <f t="shared" si="2"/>
        <v>1300</v>
      </c>
      <c r="M46" s="15">
        <f>IFS(E46="Tarjeta de Crédito",J46*Instrucciones!$J$2,E46&lt;&gt;"Tarjeta de Crédito",0)</f>
        <v>0</v>
      </c>
      <c r="N46" s="15">
        <f t="shared" si="3"/>
        <v>1400</v>
      </c>
      <c r="O46" s="13" t="str">
        <f t="shared" si="4"/>
        <v>Ticket Estandar</v>
      </c>
    </row>
    <row r="47" ht="15.75" customHeight="1">
      <c r="A47" s="9" t="s">
        <v>123</v>
      </c>
      <c r="B47" s="9" t="s">
        <v>117</v>
      </c>
      <c r="C47" s="9" t="s">
        <v>65</v>
      </c>
      <c r="D47" s="9" t="s">
        <v>69</v>
      </c>
      <c r="E47" s="9" t="s">
        <v>58</v>
      </c>
      <c r="F47" s="9">
        <v>1.0</v>
      </c>
      <c r="G47" s="13" t="str">
        <f t="array" ref="G47:J47">XLOOKUP(C47,DimProductos[ID_Producto],DimProductos[[Producto]:[Precio_Lista]])</f>
        <v>Silla Ergonómica Pro</v>
      </c>
      <c r="H47" s="13" t="s">
        <v>67</v>
      </c>
      <c r="I47" s="14">
        <v>3200.0</v>
      </c>
      <c r="J47" s="14">
        <v>5699.0</v>
      </c>
      <c r="K47" s="13">
        <f t="shared" si="1"/>
        <v>5699</v>
      </c>
      <c r="L47" s="13">
        <f t="shared" si="2"/>
        <v>3200</v>
      </c>
      <c r="M47" s="15">
        <f>IFS(E47="Tarjeta de Crédito",J47*Instrucciones!$J$2,E47&lt;&gt;"Tarjeta de Crédito",0)</f>
        <v>0</v>
      </c>
      <c r="N47" s="15">
        <f t="shared" si="3"/>
        <v>2499</v>
      </c>
      <c r="O47" s="13" t="str">
        <f t="shared" si="4"/>
        <v>Ticket alto valor</v>
      </c>
    </row>
    <row r="48" ht="15.75" customHeight="1">
      <c r="A48" s="9" t="s">
        <v>124</v>
      </c>
      <c r="B48" s="9" t="s">
        <v>117</v>
      </c>
      <c r="C48" s="9" t="s">
        <v>59</v>
      </c>
      <c r="D48" s="9" t="s">
        <v>72</v>
      </c>
      <c r="E48" s="9" t="s">
        <v>70</v>
      </c>
      <c r="F48" s="9">
        <v>3.0</v>
      </c>
      <c r="G48" s="13" t="str">
        <f t="array" ref="G48:J48">XLOOKUP(C48,DimProductos[ID_Producto],DimProductos[[Producto]:[Precio_Lista]])</f>
        <v>Laptop Ultrabook 14"</v>
      </c>
      <c r="H48" s="13" t="s">
        <v>56</v>
      </c>
      <c r="I48" s="14">
        <v>11200.0</v>
      </c>
      <c r="J48" s="14">
        <v>17999.0</v>
      </c>
      <c r="K48" s="13">
        <f t="shared" si="1"/>
        <v>53997</v>
      </c>
      <c r="L48" s="13">
        <f t="shared" si="2"/>
        <v>33600</v>
      </c>
      <c r="M48" s="15">
        <f>IFS(E48="Tarjeta de Crédito",J48*Instrucciones!$J$2,E48&lt;&gt;"Tarjeta de Crédito",0)</f>
        <v>0</v>
      </c>
      <c r="N48" s="15">
        <f t="shared" si="3"/>
        <v>20397</v>
      </c>
      <c r="O48" s="13" t="str">
        <f t="shared" si="4"/>
        <v>Ticket alto valor</v>
      </c>
    </row>
    <row r="49" ht="15.75" customHeight="1">
      <c r="A49" s="9" t="s">
        <v>125</v>
      </c>
      <c r="B49" s="9" t="s">
        <v>117</v>
      </c>
      <c r="C49" s="9" t="s">
        <v>61</v>
      </c>
      <c r="D49" s="9" t="s">
        <v>69</v>
      </c>
      <c r="E49" s="9" t="s">
        <v>58</v>
      </c>
      <c r="F49" s="9">
        <v>1.0</v>
      </c>
      <c r="G49" s="13" t="str">
        <f t="array" ref="G49:J49">XLOOKUP(C49,DimProductos[ID_Producto],DimProductos[[Producto]:[Precio_Lista]])</f>
        <v>Auriculares Noise Cancelling</v>
      </c>
      <c r="H49" s="13" t="s">
        <v>63</v>
      </c>
      <c r="I49" s="14">
        <v>1600.0</v>
      </c>
      <c r="J49" s="14">
        <v>3199.0</v>
      </c>
      <c r="K49" s="13">
        <f t="shared" si="1"/>
        <v>3199</v>
      </c>
      <c r="L49" s="13">
        <f t="shared" si="2"/>
        <v>1600</v>
      </c>
      <c r="M49" s="15">
        <f>IFS(E49="Tarjeta de Crédito",J49*Instrucciones!$J$2,E49&lt;&gt;"Tarjeta de Crédito",0)</f>
        <v>0</v>
      </c>
      <c r="N49" s="15">
        <f t="shared" si="3"/>
        <v>1599</v>
      </c>
      <c r="O49" s="13" t="str">
        <f t="shared" si="4"/>
        <v>Ticket alto valor</v>
      </c>
    </row>
    <row r="50" ht="15.75" customHeight="1">
      <c r="A50" s="9" t="s">
        <v>126</v>
      </c>
      <c r="B50" s="9" t="s">
        <v>117</v>
      </c>
      <c r="C50" s="9" t="s">
        <v>65</v>
      </c>
      <c r="D50" s="9" t="s">
        <v>69</v>
      </c>
      <c r="E50" s="9" t="s">
        <v>70</v>
      </c>
      <c r="F50" s="9">
        <v>1.0</v>
      </c>
      <c r="G50" s="13" t="str">
        <f t="array" ref="G50:J50">XLOOKUP(C50,DimProductos[ID_Producto],DimProductos[[Producto]:[Precio_Lista]])</f>
        <v>Silla Ergonómica Pro</v>
      </c>
      <c r="H50" s="13" t="s">
        <v>67</v>
      </c>
      <c r="I50" s="14">
        <v>3200.0</v>
      </c>
      <c r="J50" s="14">
        <v>5699.0</v>
      </c>
      <c r="K50" s="13">
        <f t="shared" si="1"/>
        <v>5699</v>
      </c>
      <c r="L50" s="13">
        <f t="shared" si="2"/>
        <v>3200</v>
      </c>
      <c r="M50" s="15">
        <f>IFS(E50="Tarjeta de Crédito",J50*Instrucciones!$J$2,E50&lt;&gt;"Tarjeta de Crédito",0)</f>
        <v>0</v>
      </c>
      <c r="N50" s="15">
        <f t="shared" si="3"/>
        <v>2499</v>
      </c>
      <c r="O50" s="13" t="str">
        <f t="shared" si="4"/>
        <v>Ticket alto valor</v>
      </c>
    </row>
    <row r="51" ht="15.75" customHeight="1">
      <c r="A51" s="9" t="s">
        <v>127</v>
      </c>
      <c r="B51" s="9" t="s">
        <v>117</v>
      </c>
      <c r="C51" s="9" t="s">
        <v>65</v>
      </c>
      <c r="D51" s="9" t="s">
        <v>69</v>
      </c>
      <c r="E51" s="9" t="s">
        <v>70</v>
      </c>
      <c r="F51" s="9">
        <v>2.0</v>
      </c>
      <c r="G51" s="13" t="str">
        <f t="array" ref="G51:J51">XLOOKUP(C51,DimProductos[ID_Producto],DimProductos[[Producto]:[Precio_Lista]])</f>
        <v>Silla Ergonómica Pro</v>
      </c>
      <c r="H51" s="13" t="s">
        <v>67</v>
      </c>
      <c r="I51" s="14">
        <v>3200.0</v>
      </c>
      <c r="J51" s="14">
        <v>5699.0</v>
      </c>
      <c r="K51" s="13">
        <f t="shared" si="1"/>
        <v>11398</v>
      </c>
      <c r="L51" s="13">
        <f t="shared" si="2"/>
        <v>6400</v>
      </c>
      <c r="M51" s="15">
        <f>IFS(E51="Tarjeta de Crédito",J51*Instrucciones!$J$2,E51&lt;&gt;"Tarjeta de Crédito",0)</f>
        <v>0</v>
      </c>
      <c r="N51" s="15">
        <f t="shared" si="3"/>
        <v>4998</v>
      </c>
      <c r="O51" s="13" t="str">
        <f t="shared" si="4"/>
        <v>Ticket alto valor</v>
      </c>
    </row>
    <row r="52" ht="15.75" customHeight="1">
      <c r="A52" s="9" t="s">
        <v>128</v>
      </c>
      <c r="B52" s="9" t="s">
        <v>117</v>
      </c>
      <c r="C52" s="9" t="s">
        <v>55</v>
      </c>
      <c r="D52" s="9" t="s">
        <v>69</v>
      </c>
      <c r="E52" s="9" t="s">
        <v>58</v>
      </c>
      <c r="F52" s="9">
        <v>1.0</v>
      </c>
      <c r="G52" s="13" t="str">
        <f t="array" ref="G52:J52">XLOOKUP(C52,DimProductos[ID_Producto],DimProductos[[Producto]:[Precio_Lista]])</f>
        <v>Micrófono USB Studio</v>
      </c>
      <c r="H52" s="13" t="s">
        <v>63</v>
      </c>
      <c r="I52" s="14">
        <v>950.0</v>
      </c>
      <c r="J52" s="14">
        <v>1899.0</v>
      </c>
      <c r="K52" s="13">
        <f t="shared" si="1"/>
        <v>1899</v>
      </c>
      <c r="L52" s="13">
        <f t="shared" si="2"/>
        <v>950</v>
      </c>
      <c r="M52" s="15">
        <f>IFS(E52="Tarjeta de Crédito",J52*Instrucciones!$J$2,E52&lt;&gt;"Tarjeta de Crédito",0)</f>
        <v>0</v>
      </c>
      <c r="N52" s="15">
        <f t="shared" si="3"/>
        <v>949</v>
      </c>
      <c r="O52" s="13" t="str">
        <f t="shared" si="4"/>
        <v>Ticket Estandar</v>
      </c>
    </row>
    <row r="53" ht="15.75" customHeight="1">
      <c r="A53" s="9" t="s">
        <v>129</v>
      </c>
      <c r="B53" s="9" t="s">
        <v>117</v>
      </c>
      <c r="C53" s="9" t="s">
        <v>52</v>
      </c>
      <c r="D53" s="9" t="s">
        <v>57</v>
      </c>
      <c r="E53" s="9" t="s">
        <v>73</v>
      </c>
      <c r="F53" s="9">
        <v>1.0</v>
      </c>
      <c r="G53" s="13" t="str">
        <f t="array" ref="G53:J53">XLOOKUP(C53,DimProductos[ID_Producto],DimProductos[[Producto]:[Precio_Lista]])</f>
        <v>Laptop Gamer 16GB</v>
      </c>
      <c r="H53" s="13" t="s">
        <v>56</v>
      </c>
      <c r="I53" s="14">
        <v>14500.0</v>
      </c>
      <c r="J53" s="14">
        <v>22499.0</v>
      </c>
      <c r="K53" s="13">
        <f t="shared" si="1"/>
        <v>22499</v>
      </c>
      <c r="L53" s="13">
        <f t="shared" si="2"/>
        <v>14500</v>
      </c>
      <c r="M53" s="15">
        <f>IFS(E53="Tarjeta de Crédito",J53*Instrucciones!$J$2,E53&lt;&gt;"Tarjeta de Crédito",0)</f>
        <v>0</v>
      </c>
      <c r="N53" s="15">
        <f t="shared" si="3"/>
        <v>7999</v>
      </c>
      <c r="O53" s="13" t="str">
        <f t="shared" si="4"/>
        <v>Ticket alto valor</v>
      </c>
    </row>
    <row r="54" ht="15.75" customHeight="1">
      <c r="A54" s="9" t="s">
        <v>130</v>
      </c>
      <c r="B54" s="9" t="s">
        <v>131</v>
      </c>
      <c r="C54" s="9" t="s">
        <v>61</v>
      </c>
      <c r="D54" s="9" t="s">
        <v>69</v>
      </c>
      <c r="E54" s="9" t="s">
        <v>58</v>
      </c>
      <c r="F54" s="9">
        <v>1.0</v>
      </c>
      <c r="G54" s="13" t="str">
        <f t="array" ref="G54:J54">XLOOKUP(C54,DimProductos[ID_Producto],DimProductos[[Producto]:[Precio_Lista]])</f>
        <v>Auriculares Noise Cancelling</v>
      </c>
      <c r="H54" s="13" t="s">
        <v>63</v>
      </c>
      <c r="I54" s="14">
        <v>1600.0</v>
      </c>
      <c r="J54" s="14">
        <v>3199.0</v>
      </c>
      <c r="K54" s="13">
        <f t="shared" si="1"/>
        <v>3199</v>
      </c>
      <c r="L54" s="13">
        <f t="shared" si="2"/>
        <v>1600</v>
      </c>
      <c r="M54" s="15">
        <f>IFS(E54="Tarjeta de Crédito",J54*Instrucciones!$J$2,E54&lt;&gt;"Tarjeta de Crédito",0)</f>
        <v>0</v>
      </c>
      <c r="N54" s="15">
        <f t="shared" si="3"/>
        <v>1599</v>
      </c>
      <c r="O54" s="13" t="str">
        <f t="shared" si="4"/>
        <v>Ticket alto valor</v>
      </c>
    </row>
    <row r="55" ht="15.75" customHeight="1">
      <c r="A55" s="9" t="s">
        <v>132</v>
      </c>
      <c r="B55" s="9" t="s">
        <v>131</v>
      </c>
      <c r="C55" s="9" t="s">
        <v>33</v>
      </c>
      <c r="D55" s="9" t="s">
        <v>57</v>
      </c>
      <c r="E55" s="9" t="s">
        <v>77</v>
      </c>
      <c r="F55" s="9">
        <v>1.0</v>
      </c>
      <c r="G55" s="13" t="str">
        <f t="array" ref="G55:J55">XLOOKUP(C55,DimProductos[ID_Producto],DimProductos[[Producto]:[Precio_Lista]])</f>
        <v>Monitor Curvo 27"</v>
      </c>
      <c r="H55" s="13" t="s">
        <v>36</v>
      </c>
      <c r="I55" s="14">
        <v>2800.0</v>
      </c>
      <c r="J55" s="14">
        <v>4999.0</v>
      </c>
      <c r="K55" s="13">
        <f t="shared" si="1"/>
        <v>4999</v>
      </c>
      <c r="L55" s="13">
        <f t="shared" si="2"/>
        <v>2800</v>
      </c>
      <c r="M55" s="15">
        <f>IFS(E55="Tarjeta de Crédito",J55*Instrucciones!$J$2,E55&lt;&gt;"Tarjeta de Crédito",0)</f>
        <v>174.965</v>
      </c>
      <c r="N55" s="15">
        <f t="shared" si="3"/>
        <v>2024.035</v>
      </c>
      <c r="O55" s="13" t="str">
        <f t="shared" si="4"/>
        <v>Ticket alto valor</v>
      </c>
    </row>
    <row r="56" ht="15.75" customHeight="1">
      <c r="A56" s="9" t="s">
        <v>133</v>
      </c>
      <c r="B56" s="9" t="s">
        <v>131</v>
      </c>
      <c r="C56" s="9" t="s">
        <v>61</v>
      </c>
      <c r="D56" s="9" t="s">
        <v>79</v>
      </c>
      <c r="E56" s="9" t="s">
        <v>58</v>
      </c>
      <c r="F56" s="9">
        <v>1.0</v>
      </c>
      <c r="G56" s="13" t="str">
        <f t="array" ref="G56:J56">XLOOKUP(C56,DimProductos[ID_Producto],DimProductos[[Producto]:[Precio_Lista]])</f>
        <v>Auriculares Noise Cancelling</v>
      </c>
      <c r="H56" s="13" t="s">
        <v>63</v>
      </c>
      <c r="I56" s="14">
        <v>1600.0</v>
      </c>
      <c r="J56" s="14">
        <v>3199.0</v>
      </c>
      <c r="K56" s="13">
        <f t="shared" si="1"/>
        <v>3199</v>
      </c>
      <c r="L56" s="13">
        <f t="shared" si="2"/>
        <v>1600</v>
      </c>
      <c r="M56" s="15">
        <f>IFS(E56="Tarjeta de Crédito",J56*Instrucciones!$J$2,E56&lt;&gt;"Tarjeta de Crédito",0)</f>
        <v>0</v>
      </c>
      <c r="N56" s="15">
        <f t="shared" si="3"/>
        <v>1599</v>
      </c>
      <c r="O56" s="13" t="str">
        <f t="shared" si="4"/>
        <v>Ticket alto valor</v>
      </c>
    </row>
    <row r="57" ht="15.75" customHeight="1">
      <c r="A57" s="9" t="s">
        <v>134</v>
      </c>
      <c r="B57" s="9" t="s">
        <v>131</v>
      </c>
      <c r="C57" s="9" t="s">
        <v>40</v>
      </c>
      <c r="D57" s="9" t="s">
        <v>72</v>
      </c>
      <c r="E57" s="9" t="s">
        <v>58</v>
      </c>
      <c r="F57" s="9">
        <v>3.0</v>
      </c>
      <c r="G57" s="13" t="str">
        <f t="array" ref="G57:J57">XLOOKUP(C57,DimProductos[ID_Producto],DimProductos[[Producto]:[Precio_Lista]])</f>
        <v>Teclado Mecánico RGB</v>
      </c>
      <c r="H57" s="13" t="s">
        <v>43</v>
      </c>
      <c r="I57" s="14">
        <v>650.0</v>
      </c>
      <c r="J57" s="14">
        <v>1350.0</v>
      </c>
      <c r="K57" s="13">
        <f t="shared" si="1"/>
        <v>4050</v>
      </c>
      <c r="L57" s="13">
        <f t="shared" si="2"/>
        <v>1950</v>
      </c>
      <c r="M57" s="15">
        <f>IFS(E57="Tarjeta de Crédito",J57*Instrucciones!$J$2,E57&lt;&gt;"Tarjeta de Crédito",0)</f>
        <v>0</v>
      </c>
      <c r="N57" s="15">
        <f t="shared" si="3"/>
        <v>2100</v>
      </c>
      <c r="O57" s="13" t="str">
        <f t="shared" si="4"/>
        <v>Ticket alto valor</v>
      </c>
    </row>
    <row r="58" ht="15.75" customHeight="1">
      <c r="A58" s="9" t="s">
        <v>135</v>
      </c>
      <c r="B58" s="9" t="s">
        <v>131</v>
      </c>
      <c r="C58" s="9" t="s">
        <v>59</v>
      </c>
      <c r="D58" s="9" t="s">
        <v>69</v>
      </c>
      <c r="E58" s="9" t="s">
        <v>58</v>
      </c>
      <c r="F58" s="9">
        <v>1.0</v>
      </c>
      <c r="G58" s="13" t="str">
        <f t="array" ref="G58:J58">XLOOKUP(C58,DimProductos[ID_Producto],DimProductos[[Producto]:[Precio_Lista]])</f>
        <v>Laptop Ultrabook 14"</v>
      </c>
      <c r="H58" s="13" t="s">
        <v>56</v>
      </c>
      <c r="I58" s="14">
        <v>11200.0</v>
      </c>
      <c r="J58" s="14">
        <v>17999.0</v>
      </c>
      <c r="K58" s="13">
        <f t="shared" si="1"/>
        <v>17999</v>
      </c>
      <c r="L58" s="13">
        <f t="shared" si="2"/>
        <v>11200</v>
      </c>
      <c r="M58" s="15">
        <f>IFS(E58="Tarjeta de Crédito",J58*Instrucciones!$J$2,E58&lt;&gt;"Tarjeta de Crédito",0)</f>
        <v>0</v>
      </c>
      <c r="N58" s="15">
        <f t="shared" si="3"/>
        <v>6799</v>
      </c>
      <c r="O58" s="13" t="str">
        <f t="shared" si="4"/>
        <v>Ticket alto valor</v>
      </c>
    </row>
    <row r="59" ht="15.75" customHeight="1">
      <c r="A59" s="9" t="s">
        <v>136</v>
      </c>
      <c r="B59" s="9" t="s">
        <v>131</v>
      </c>
      <c r="C59" s="9" t="s">
        <v>55</v>
      </c>
      <c r="D59" s="9" t="s">
        <v>57</v>
      </c>
      <c r="E59" s="9" t="s">
        <v>77</v>
      </c>
      <c r="F59" s="9">
        <v>1.0</v>
      </c>
      <c r="G59" s="13" t="str">
        <f t="array" ref="G59:J59">XLOOKUP(C59,DimProductos[ID_Producto],DimProductos[[Producto]:[Precio_Lista]])</f>
        <v>Micrófono USB Studio</v>
      </c>
      <c r="H59" s="13" t="s">
        <v>63</v>
      </c>
      <c r="I59" s="14">
        <v>950.0</v>
      </c>
      <c r="J59" s="14">
        <v>1899.0</v>
      </c>
      <c r="K59" s="13">
        <f t="shared" si="1"/>
        <v>1899</v>
      </c>
      <c r="L59" s="13">
        <f t="shared" si="2"/>
        <v>950</v>
      </c>
      <c r="M59" s="15">
        <f>IFS(E59="Tarjeta de Crédito",J59*Instrucciones!$J$2,E59&lt;&gt;"Tarjeta de Crédito",0)</f>
        <v>66.465</v>
      </c>
      <c r="N59" s="15">
        <f t="shared" si="3"/>
        <v>882.535</v>
      </c>
      <c r="O59" s="13" t="str">
        <f t="shared" si="4"/>
        <v>Ticket Estandar</v>
      </c>
    </row>
    <row r="60" ht="15.75" customHeight="1">
      <c r="A60" s="9" t="s">
        <v>137</v>
      </c>
      <c r="B60" s="9" t="s">
        <v>131</v>
      </c>
      <c r="C60" s="9" t="s">
        <v>40</v>
      </c>
      <c r="D60" s="9" t="s">
        <v>57</v>
      </c>
      <c r="E60" s="9" t="s">
        <v>73</v>
      </c>
      <c r="F60" s="9">
        <v>2.0</v>
      </c>
      <c r="G60" s="13" t="str">
        <f t="array" ref="G60:J60">XLOOKUP(C60,DimProductos[ID_Producto],DimProductos[[Producto]:[Precio_Lista]])</f>
        <v>Teclado Mecánico RGB</v>
      </c>
      <c r="H60" s="13" t="s">
        <v>43</v>
      </c>
      <c r="I60" s="14">
        <v>650.0</v>
      </c>
      <c r="J60" s="14">
        <v>1350.0</v>
      </c>
      <c r="K60" s="13">
        <f t="shared" si="1"/>
        <v>2700</v>
      </c>
      <c r="L60" s="13">
        <f t="shared" si="2"/>
        <v>1300</v>
      </c>
      <c r="M60" s="15">
        <f>IFS(E60="Tarjeta de Crédito",J60*Instrucciones!$J$2,E60&lt;&gt;"Tarjeta de Crédito",0)</f>
        <v>0</v>
      </c>
      <c r="N60" s="15">
        <f t="shared" si="3"/>
        <v>1400</v>
      </c>
      <c r="O60" s="13" t="str">
        <f t="shared" si="4"/>
        <v>Ticket Estandar</v>
      </c>
    </row>
    <row r="61" ht="15.75" customHeight="1">
      <c r="A61" s="9" t="s">
        <v>138</v>
      </c>
      <c r="B61" s="9" t="s">
        <v>131</v>
      </c>
      <c r="C61" s="9" t="s">
        <v>55</v>
      </c>
      <c r="D61" s="9" t="s">
        <v>69</v>
      </c>
      <c r="E61" s="9" t="s">
        <v>70</v>
      </c>
      <c r="F61" s="9">
        <v>2.0</v>
      </c>
      <c r="G61" s="13" t="str">
        <f t="array" ref="G61:J61">XLOOKUP(C61,DimProductos[ID_Producto],DimProductos[[Producto]:[Precio_Lista]])</f>
        <v>Micrófono USB Studio</v>
      </c>
      <c r="H61" s="13" t="s">
        <v>63</v>
      </c>
      <c r="I61" s="14">
        <v>950.0</v>
      </c>
      <c r="J61" s="14">
        <v>1899.0</v>
      </c>
      <c r="K61" s="13">
        <f t="shared" si="1"/>
        <v>3798</v>
      </c>
      <c r="L61" s="13">
        <f t="shared" si="2"/>
        <v>1900</v>
      </c>
      <c r="M61" s="15">
        <f>IFS(E61="Tarjeta de Crédito",J61*Instrucciones!$J$2,E61&lt;&gt;"Tarjeta de Crédito",0)</f>
        <v>0</v>
      </c>
      <c r="N61" s="15">
        <f t="shared" si="3"/>
        <v>1898</v>
      </c>
      <c r="O61" s="13" t="str">
        <f t="shared" si="4"/>
        <v>Ticket alto valor</v>
      </c>
    </row>
    <row r="62" ht="15.75" customHeight="1">
      <c r="A62" s="9" t="s">
        <v>139</v>
      </c>
      <c r="B62" s="9" t="s">
        <v>131</v>
      </c>
      <c r="C62" s="9" t="s">
        <v>55</v>
      </c>
      <c r="D62" s="9" t="s">
        <v>79</v>
      </c>
      <c r="E62" s="9" t="s">
        <v>77</v>
      </c>
      <c r="F62" s="9">
        <v>1.0</v>
      </c>
      <c r="G62" s="13" t="str">
        <f t="array" ref="G62:J62">XLOOKUP(C62,DimProductos[ID_Producto],DimProductos[[Producto]:[Precio_Lista]])</f>
        <v>Micrófono USB Studio</v>
      </c>
      <c r="H62" s="13" t="s">
        <v>63</v>
      </c>
      <c r="I62" s="14">
        <v>950.0</v>
      </c>
      <c r="J62" s="14">
        <v>1899.0</v>
      </c>
      <c r="K62" s="13">
        <f t="shared" si="1"/>
        <v>1899</v>
      </c>
      <c r="L62" s="13">
        <f t="shared" si="2"/>
        <v>950</v>
      </c>
      <c r="M62" s="15">
        <f>IFS(E62="Tarjeta de Crédito",J62*Instrucciones!$J$2,E62&lt;&gt;"Tarjeta de Crédito",0)</f>
        <v>66.465</v>
      </c>
      <c r="N62" s="15">
        <f t="shared" si="3"/>
        <v>882.535</v>
      </c>
      <c r="O62" s="13" t="str">
        <f t="shared" si="4"/>
        <v>Ticket Estandar</v>
      </c>
    </row>
    <row r="63" ht="15.75" customHeight="1">
      <c r="A63" s="9" t="s">
        <v>140</v>
      </c>
      <c r="B63" s="9" t="s">
        <v>141</v>
      </c>
      <c r="C63" s="9" t="s">
        <v>55</v>
      </c>
      <c r="D63" s="9" t="s">
        <v>69</v>
      </c>
      <c r="E63" s="9" t="s">
        <v>73</v>
      </c>
      <c r="F63" s="9">
        <v>3.0</v>
      </c>
      <c r="G63" s="13" t="str">
        <f t="array" ref="G63:J63">XLOOKUP(C63,DimProductos[ID_Producto],DimProductos[[Producto]:[Precio_Lista]])</f>
        <v>Micrófono USB Studio</v>
      </c>
      <c r="H63" s="13" t="s">
        <v>63</v>
      </c>
      <c r="I63" s="14">
        <v>950.0</v>
      </c>
      <c r="J63" s="14">
        <v>1899.0</v>
      </c>
      <c r="K63" s="13">
        <f t="shared" si="1"/>
        <v>5697</v>
      </c>
      <c r="L63" s="13">
        <f t="shared" si="2"/>
        <v>2850</v>
      </c>
      <c r="M63" s="15">
        <f>IFS(E63="Tarjeta de Crédito",J63*Instrucciones!$J$2,E63&lt;&gt;"Tarjeta de Crédito",0)</f>
        <v>0</v>
      </c>
      <c r="N63" s="15">
        <f t="shared" si="3"/>
        <v>2847</v>
      </c>
      <c r="O63" s="13" t="str">
        <f t="shared" si="4"/>
        <v>Ticket alto valor</v>
      </c>
    </row>
    <row r="64" ht="15.75" customHeight="1">
      <c r="A64" s="9" t="s">
        <v>142</v>
      </c>
      <c r="B64" s="9" t="s">
        <v>141</v>
      </c>
      <c r="C64" s="9" t="s">
        <v>52</v>
      </c>
      <c r="D64" s="9" t="s">
        <v>69</v>
      </c>
      <c r="E64" s="9" t="s">
        <v>58</v>
      </c>
      <c r="F64" s="9">
        <v>1.0</v>
      </c>
      <c r="G64" s="13" t="str">
        <f t="array" ref="G64:J64">XLOOKUP(C64,DimProductos[ID_Producto],DimProductos[[Producto]:[Precio_Lista]])</f>
        <v>Laptop Gamer 16GB</v>
      </c>
      <c r="H64" s="13" t="s">
        <v>56</v>
      </c>
      <c r="I64" s="14">
        <v>14500.0</v>
      </c>
      <c r="J64" s="14">
        <v>22499.0</v>
      </c>
      <c r="K64" s="13">
        <f t="shared" si="1"/>
        <v>22499</v>
      </c>
      <c r="L64" s="13">
        <f t="shared" si="2"/>
        <v>14500</v>
      </c>
      <c r="M64" s="15">
        <f>IFS(E64="Tarjeta de Crédito",J64*Instrucciones!$J$2,E64&lt;&gt;"Tarjeta de Crédito",0)</f>
        <v>0</v>
      </c>
      <c r="N64" s="15">
        <f t="shared" si="3"/>
        <v>7999</v>
      </c>
      <c r="O64" s="13" t="str">
        <f t="shared" si="4"/>
        <v>Ticket alto valor</v>
      </c>
    </row>
    <row r="65" ht="15.75" customHeight="1">
      <c r="A65" s="9" t="s">
        <v>143</v>
      </c>
      <c r="B65" s="9" t="s">
        <v>141</v>
      </c>
      <c r="C65" s="9" t="s">
        <v>65</v>
      </c>
      <c r="D65" s="9" t="s">
        <v>79</v>
      </c>
      <c r="E65" s="9" t="s">
        <v>77</v>
      </c>
      <c r="F65" s="9">
        <v>2.0</v>
      </c>
      <c r="G65" s="13" t="str">
        <f t="array" ref="G65:J65">XLOOKUP(C65,DimProductos[ID_Producto],DimProductos[[Producto]:[Precio_Lista]])</f>
        <v>Silla Ergonómica Pro</v>
      </c>
      <c r="H65" s="13" t="s">
        <v>67</v>
      </c>
      <c r="I65" s="14">
        <v>3200.0</v>
      </c>
      <c r="J65" s="14">
        <v>5699.0</v>
      </c>
      <c r="K65" s="13">
        <f t="shared" si="1"/>
        <v>11398</v>
      </c>
      <c r="L65" s="13">
        <f t="shared" si="2"/>
        <v>6400</v>
      </c>
      <c r="M65" s="15">
        <f>IFS(E65="Tarjeta de Crédito",J65*Instrucciones!$J$2,E65&lt;&gt;"Tarjeta de Crédito",0)</f>
        <v>199.465</v>
      </c>
      <c r="N65" s="15">
        <f t="shared" si="3"/>
        <v>4798.535</v>
      </c>
      <c r="O65" s="13" t="str">
        <f t="shared" si="4"/>
        <v>Ticket alto valor</v>
      </c>
    </row>
    <row r="66" ht="15.75" customHeight="1">
      <c r="A66" s="9" t="s">
        <v>144</v>
      </c>
      <c r="B66" s="9" t="s">
        <v>141</v>
      </c>
      <c r="C66" s="9" t="s">
        <v>55</v>
      </c>
      <c r="D66" s="9" t="s">
        <v>72</v>
      </c>
      <c r="E66" s="9" t="s">
        <v>70</v>
      </c>
      <c r="F66" s="9">
        <v>1.0</v>
      </c>
      <c r="G66" s="13" t="str">
        <f t="array" ref="G66:J66">XLOOKUP(C66,DimProductos[ID_Producto],DimProductos[[Producto]:[Precio_Lista]])</f>
        <v>Micrófono USB Studio</v>
      </c>
      <c r="H66" s="13" t="s">
        <v>63</v>
      </c>
      <c r="I66" s="14">
        <v>950.0</v>
      </c>
      <c r="J66" s="14">
        <v>1899.0</v>
      </c>
      <c r="K66" s="13">
        <f t="shared" si="1"/>
        <v>1899</v>
      </c>
      <c r="L66" s="13">
        <f t="shared" si="2"/>
        <v>950</v>
      </c>
      <c r="M66" s="15">
        <f>IFS(E66="Tarjeta de Crédito",J66*Instrucciones!$J$2,E66&lt;&gt;"Tarjeta de Crédito",0)</f>
        <v>0</v>
      </c>
      <c r="N66" s="15">
        <f t="shared" si="3"/>
        <v>949</v>
      </c>
      <c r="O66" s="13" t="str">
        <f t="shared" si="4"/>
        <v>Ticket Estandar</v>
      </c>
    </row>
    <row r="67" ht="15.75" customHeight="1">
      <c r="A67" s="9" t="s">
        <v>145</v>
      </c>
      <c r="B67" s="9" t="s">
        <v>141</v>
      </c>
      <c r="C67" s="9" t="s">
        <v>52</v>
      </c>
      <c r="D67" s="9" t="s">
        <v>79</v>
      </c>
      <c r="E67" s="9" t="s">
        <v>73</v>
      </c>
      <c r="F67" s="9">
        <v>1.0</v>
      </c>
      <c r="G67" s="13" t="str">
        <f t="array" ref="G67:J67">XLOOKUP(C67,DimProductos[ID_Producto],DimProductos[[Producto]:[Precio_Lista]])</f>
        <v>Laptop Gamer 16GB</v>
      </c>
      <c r="H67" s="13" t="s">
        <v>56</v>
      </c>
      <c r="I67" s="14">
        <v>14500.0</v>
      </c>
      <c r="J67" s="14">
        <v>22499.0</v>
      </c>
      <c r="K67" s="13">
        <f t="shared" si="1"/>
        <v>22499</v>
      </c>
      <c r="L67" s="13">
        <f t="shared" si="2"/>
        <v>14500</v>
      </c>
      <c r="M67" s="15">
        <f>IFS(E67="Tarjeta de Crédito",J67*Instrucciones!$J$2,E67&lt;&gt;"Tarjeta de Crédito",0)</f>
        <v>0</v>
      </c>
      <c r="N67" s="15">
        <f t="shared" si="3"/>
        <v>7999</v>
      </c>
      <c r="O67" s="13" t="str">
        <f t="shared" si="4"/>
        <v>Ticket alto valor</v>
      </c>
    </row>
    <row r="68" ht="15.75" customHeight="1">
      <c r="A68" s="9" t="s">
        <v>146</v>
      </c>
      <c r="B68" s="9" t="s">
        <v>141</v>
      </c>
      <c r="C68" s="9" t="s">
        <v>40</v>
      </c>
      <c r="D68" s="9" t="s">
        <v>79</v>
      </c>
      <c r="E68" s="9" t="s">
        <v>70</v>
      </c>
      <c r="F68" s="9">
        <v>1.0</v>
      </c>
      <c r="G68" s="13" t="str">
        <f t="array" ref="G68:J68">XLOOKUP(C68,DimProductos[ID_Producto],DimProductos[[Producto]:[Precio_Lista]])</f>
        <v>Teclado Mecánico RGB</v>
      </c>
      <c r="H68" s="13" t="s">
        <v>43</v>
      </c>
      <c r="I68" s="14">
        <v>650.0</v>
      </c>
      <c r="J68" s="14">
        <v>1350.0</v>
      </c>
      <c r="K68" s="13">
        <f t="shared" si="1"/>
        <v>1350</v>
      </c>
      <c r="L68" s="13">
        <f t="shared" si="2"/>
        <v>650</v>
      </c>
      <c r="M68" s="15">
        <f>IFS(E68="Tarjeta de Crédito",J68*Instrucciones!$J$2,E68&lt;&gt;"Tarjeta de Crédito",0)</f>
        <v>0</v>
      </c>
      <c r="N68" s="15">
        <f t="shared" si="3"/>
        <v>700</v>
      </c>
      <c r="O68" s="13" t="str">
        <f t="shared" si="4"/>
        <v>Ticket Estandar</v>
      </c>
    </row>
    <row r="69" ht="15.75" customHeight="1">
      <c r="A69" s="9" t="s">
        <v>147</v>
      </c>
      <c r="B69" s="9" t="s">
        <v>141</v>
      </c>
      <c r="C69" s="9" t="s">
        <v>52</v>
      </c>
      <c r="D69" s="9" t="s">
        <v>69</v>
      </c>
      <c r="E69" s="9" t="s">
        <v>70</v>
      </c>
      <c r="F69" s="9">
        <v>3.0</v>
      </c>
      <c r="G69" s="13" t="str">
        <f t="array" ref="G69:J69">XLOOKUP(C69,DimProductos[ID_Producto],DimProductos[[Producto]:[Precio_Lista]])</f>
        <v>Laptop Gamer 16GB</v>
      </c>
      <c r="H69" s="13" t="s">
        <v>56</v>
      </c>
      <c r="I69" s="14">
        <v>14500.0</v>
      </c>
      <c r="J69" s="14">
        <v>22499.0</v>
      </c>
      <c r="K69" s="13">
        <f t="shared" si="1"/>
        <v>67497</v>
      </c>
      <c r="L69" s="13">
        <f t="shared" si="2"/>
        <v>43500</v>
      </c>
      <c r="M69" s="15">
        <f>IFS(E69="Tarjeta de Crédito",J69*Instrucciones!$J$2,E69&lt;&gt;"Tarjeta de Crédito",0)</f>
        <v>0</v>
      </c>
      <c r="N69" s="15">
        <f t="shared" si="3"/>
        <v>23997</v>
      </c>
      <c r="O69" s="13" t="str">
        <f t="shared" si="4"/>
        <v>Ticket alto valor</v>
      </c>
    </row>
    <row r="70" ht="15.75" customHeight="1">
      <c r="A70" s="9" t="s">
        <v>148</v>
      </c>
      <c r="B70" s="9" t="s">
        <v>141</v>
      </c>
      <c r="C70" s="9" t="s">
        <v>59</v>
      </c>
      <c r="D70" s="9" t="s">
        <v>72</v>
      </c>
      <c r="E70" s="9" t="s">
        <v>58</v>
      </c>
      <c r="F70" s="9">
        <v>3.0</v>
      </c>
      <c r="G70" s="13" t="str">
        <f t="array" ref="G70:J70">XLOOKUP(C70,DimProductos[ID_Producto],DimProductos[[Producto]:[Precio_Lista]])</f>
        <v>Laptop Ultrabook 14"</v>
      </c>
      <c r="H70" s="13" t="s">
        <v>56</v>
      </c>
      <c r="I70" s="14">
        <v>11200.0</v>
      </c>
      <c r="J70" s="14">
        <v>17999.0</v>
      </c>
      <c r="K70" s="13">
        <f t="shared" si="1"/>
        <v>53997</v>
      </c>
      <c r="L70" s="13">
        <f t="shared" si="2"/>
        <v>33600</v>
      </c>
      <c r="M70" s="15">
        <f>IFS(E70="Tarjeta de Crédito",J70*Instrucciones!$J$2,E70&lt;&gt;"Tarjeta de Crédito",0)</f>
        <v>0</v>
      </c>
      <c r="N70" s="15">
        <f t="shared" si="3"/>
        <v>20397</v>
      </c>
      <c r="O70" s="13" t="str">
        <f t="shared" si="4"/>
        <v>Ticket alto valor</v>
      </c>
    </row>
    <row r="71" ht="15.75" customHeight="1">
      <c r="A71" s="9" t="s">
        <v>149</v>
      </c>
      <c r="B71" s="9" t="s">
        <v>141</v>
      </c>
      <c r="C71" s="9" t="s">
        <v>52</v>
      </c>
      <c r="D71" s="9" t="s">
        <v>79</v>
      </c>
      <c r="E71" s="9" t="s">
        <v>58</v>
      </c>
      <c r="F71" s="9">
        <v>1.0</v>
      </c>
      <c r="G71" s="13" t="str">
        <f t="array" ref="G71:J71">XLOOKUP(C71,DimProductos[ID_Producto],DimProductos[[Producto]:[Precio_Lista]])</f>
        <v>Laptop Gamer 16GB</v>
      </c>
      <c r="H71" s="13" t="s">
        <v>56</v>
      </c>
      <c r="I71" s="14">
        <v>14500.0</v>
      </c>
      <c r="J71" s="14">
        <v>22499.0</v>
      </c>
      <c r="K71" s="13">
        <f t="shared" si="1"/>
        <v>22499</v>
      </c>
      <c r="L71" s="13">
        <f t="shared" si="2"/>
        <v>14500</v>
      </c>
      <c r="M71" s="15">
        <f>IFS(E71="Tarjeta de Crédito",J71*Instrucciones!$J$2,E71&lt;&gt;"Tarjeta de Crédito",0)</f>
        <v>0</v>
      </c>
      <c r="N71" s="15">
        <f t="shared" si="3"/>
        <v>7999</v>
      </c>
      <c r="O71" s="13" t="str">
        <f t="shared" si="4"/>
        <v>Ticket alto valor</v>
      </c>
    </row>
    <row r="72" ht="15.75" customHeight="1">
      <c r="A72" s="9" t="s">
        <v>150</v>
      </c>
      <c r="B72" s="9" t="s">
        <v>141</v>
      </c>
      <c r="C72" s="9" t="s">
        <v>52</v>
      </c>
      <c r="D72" s="9" t="s">
        <v>57</v>
      </c>
      <c r="E72" s="9" t="s">
        <v>70</v>
      </c>
      <c r="F72" s="9">
        <v>1.0</v>
      </c>
      <c r="G72" s="13" t="str">
        <f t="array" ref="G72:J72">XLOOKUP(C72,DimProductos[ID_Producto],DimProductos[[Producto]:[Precio_Lista]])</f>
        <v>Laptop Gamer 16GB</v>
      </c>
      <c r="H72" s="13" t="s">
        <v>56</v>
      </c>
      <c r="I72" s="14">
        <v>14500.0</v>
      </c>
      <c r="J72" s="14">
        <v>22499.0</v>
      </c>
      <c r="K72" s="13">
        <f t="shared" si="1"/>
        <v>22499</v>
      </c>
      <c r="L72" s="13">
        <f t="shared" si="2"/>
        <v>14500</v>
      </c>
      <c r="M72" s="15">
        <f>IFS(E72="Tarjeta de Crédito",J72*Instrucciones!$J$2,E72&lt;&gt;"Tarjeta de Crédito",0)</f>
        <v>0</v>
      </c>
      <c r="N72" s="15">
        <f t="shared" si="3"/>
        <v>7999</v>
      </c>
      <c r="O72" s="13" t="str">
        <f t="shared" si="4"/>
        <v>Ticket alto valor</v>
      </c>
    </row>
    <row r="73" ht="15.75" customHeight="1">
      <c r="A73" s="9" t="s">
        <v>151</v>
      </c>
      <c r="B73" s="9" t="s">
        <v>152</v>
      </c>
      <c r="C73" s="9" t="s">
        <v>61</v>
      </c>
      <c r="D73" s="9" t="s">
        <v>57</v>
      </c>
      <c r="E73" s="9" t="s">
        <v>77</v>
      </c>
      <c r="F73" s="9">
        <v>1.0</v>
      </c>
      <c r="G73" s="13" t="str">
        <f t="array" ref="G73:J73">XLOOKUP(C73,DimProductos[ID_Producto],DimProductos[[Producto]:[Precio_Lista]])</f>
        <v>Auriculares Noise Cancelling</v>
      </c>
      <c r="H73" s="13" t="s">
        <v>63</v>
      </c>
      <c r="I73" s="14">
        <v>1600.0</v>
      </c>
      <c r="J73" s="14">
        <v>3199.0</v>
      </c>
      <c r="K73" s="13">
        <f t="shared" si="1"/>
        <v>3199</v>
      </c>
      <c r="L73" s="13">
        <f t="shared" si="2"/>
        <v>1600</v>
      </c>
      <c r="M73" s="15">
        <f>IFS(E73="Tarjeta de Crédito",J73*Instrucciones!$J$2,E73&lt;&gt;"Tarjeta de Crédito",0)</f>
        <v>111.965</v>
      </c>
      <c r="N73" s="15">
        <f t="shared" si="3"/>
        <v>1487.035</v>
      </c>
      <c r="O73" s="13" t="str">
        <f t="shared" si="4"/>
        <v>Ticket Estandar</v>
      </c>
    </row>
    <row r="74" ht="15.75" customHeight="1">
      <c r="A74" s="9" t="s">
        <v>153</v>
      </c>
      <c r="B74" s="9" t="s">
        <v>152</v>
      </c>
      <c r="C74" s="9" t="s">
        <v>33</v>
      </c>
      <c r="D74" s="9" t="s">
        <v>57</v>
      </c>
      <c r="E74" s="9" t="s">
        <v>73</v>
      </c>
      <c r="F74" s="9">
        <v>1.0</v>
      </c>
      <c r="G74" s="13" t="str">
        <f t="array" ref="G74:J74">XLOOKUP(C74,DimProductos[ID_Producto],DimProductos[[Producto]:[Precio_Lista]])</f>
        <v>Monitor Curvo 27"</v>
      </c>
      <c r="H74" s="13" t="s">
        <v>36</v>
      </c>
      <c r="I74" s="14">
        <v>2800.0</v>
      </c>
      <c r="J74" s="14">
        <v>4999.0</v>
      </c>
      <c r="K74" s="13">
        <f t="shared" si="1"/>
        <v>4999</v>
      </c>
      <c r="L74" s="13">
        <f t="shared" si="2"/>
        <v>2800</v>
      </c>
      <c r="M74" s="15">
        <f>IFS(E74="Tarjeta de Crédito",J74*Instrucciones!$J$2,E74&lt;&gt;"Tarjeta de Crédito",0)</f>
        <v>0</v>
      </c>
      <c r="N74" s="15">
        <f t="shared" si="3"/>
        <v>2199</v>
      </c>
      <c r="O74" s="13" t="str">
        <f t="shared" si="4"/>
        <v>Ticket alto valor</v>
      </c>
    </row>
    <row r="75" ht="15.75" customHeight="1">
      <c r="A75" s="9" t="s">
        <v>154</v>
      </c>
      <c r="B75" s="9" t="s">
        <v>152</v>
      </c>
      <c r="C75" s="9" t="s">
        <v>65</v>
      </c>
      <c r="D75" s="9" t="s">
        <v>72</v>
      </c>
      <c r="E75" s="9" t="s">
        <v>70</v>
      </c>
      <c r="F75" s="9">
        <v>1.0</v>
      </c>
      <c r="G75" s="13" t="str">
        <f t="array" ref="G75:J75">XLOOKUP(C75,DimProductos[ID_Producto],DimProductos[[Producto]:[Precio_Lista]])</f>
        <v>Silla Ergonómica Pro</v>
      </c>
      <c r="H75" s="13" t="s">
        <v>67</v>
      </c>
      <c r="I75" s="14">
        <v>3200.0</v>
      </c>
      <c r="J75" s="14">
        <v>5699.0</v>
      </c>
      <c r="K75" s="13">
        <f t="shared" si="1"/>
        <v>5699</v>
      </c>
      <c r="L75" s="13">
        <f t="shared" si="2"/>
        <v>3200</v>
      </c>
      <c r="M75" s="15">
        <f>IFS(E75="Tarjeta de Crédito",J75*Instrucciones!$J$2,E75&lt;&gt;"Tarjeta de Crédito",0)</f>
        <v>0</v>
      </c>
      <c r="N75" s="15">
        <f t="shared" si="3"/>
        <v>2499</v>
      </c>
      <c r="O75" s="13" t="str">
        <f t="shared" si="4"/>
        <v>Ticket alto valor</v>
      </c>
    </row>
    <row r="76" ht="15.75" customHeight="1">
      <c r="A76" s="9" t="s">
        <v>155</v>
      </c>
      <c r="B76" s="9" t="s">
        <v>152</v>
      </c>
      <c r="C76" s="9" t="s">
        <v>59</v>
      </c>
      <c r="D76" s="9" t="s">
        <v>69</v>
      </c>
      <c r="E76" s="9" t="s">
        <v>70</v>
      </c>
      <c r="F76" s="9">
        <v>2.0</v>
      </c>
      <c r="G76" s="13" t="str">
        <f t="array" ref="G76:J76">XLOOKUP(C76,DimProductos[ID_Producto],DimProductos[[Producto]:[Precio_Lista]])</f>
        <v>Laptop Ultrabook 14"</v>
      </c>
      <c r="H76" s="13" t="s">
        <v>56</v>
      </c>
      <c r="I76" s="14">
        <v>11200.0</v>
      </c>
      <c r="J76" s="14">
        <v>17999.0</v>
      </c>
      <c r="K76" s="13">
        <f t="shared" si="1"/>
        <v>35998</v>
      </c>
      <c r="L76" s="13">
        <f t="shared" si="2"/>
        <v>22400</v>
      </c>
      <c r="M76" s="15">
        <f>IFS(E76="Tarjeta de Crédito",J76*Instrucciones!$J$2,E76&lt;&gt;"Tarjeta de Crédito",0)</f>
        <v>0</v>
      </c>
      <c r="N76" s="15">
        <f t="shared" si="3"/>
        <v>13598</v>
      </c>
      <c r="O76" s="13" t="str">
        <f t="shared" si="4"/>
        <v>Ticket alto valor</v>
      </c>
    </row>
    <row r="77" ht="15.75" customHeight="1">
      <c r="A77" s="9" t="s">
        <v>156</v>
      </c>
      <c r="B77" s="9" t="s">
        <v>152</v>
      </c>
      <c r="C77" s="9" t="s">
        <v>61</v>
      </c>
      <c r="D77" s="9" t="s">
        <v>79</v>
      </c>
      <c r="E77" s="9" t="s">
        <v>73</v>
      </c>
      <c r="F77" s="9">
        <v>1.0</v>
      </c>
      <c r="G77" s="13" t="str">
        <f t="array" ref="G77:J77">XLOOKUP(C77,DimProductos[ID_Producto],DimProductos[[Producto]:[Precio_Lista]])</f>
        <v>Auriculares Noise Cancelling</v>
      </c>
      <c r="H77" s="13" t="s">
        <v>63</v>
      </c>
      <c r="I77" s="14">
        <v>1600.0</v>
      </c>
      <c r="J77" s="14">
        <v>3199.0</v>
      </c>
      <c r="K77" s="13">
        <f t="shared" si="1"/>
        <v>3199</v>
      </c>
      <c r="L77" s="13">
        <f t="shared" si="2"/>
        <v>1600</v>
      </c>
      <c r="M77" s="15">
        <f>IFS(E77="Tarjeta de Crédito",J77*Instrucciones!$J$2,E77&lt;&gt;"Tarjeta de Crédito",0)</f>
        <v>0</v>
      </c>
      <c r="N77" s="15">
        <f t="shared" si="3"/>
        <v>1599</v>
      </c>
      <c r="O77" s="13" t="str">
        <f t="shared" si="4"/>
        <v>Ticket alto valor</v>
      </c>
    </row>
    <row r="78" ht="15.75" customHeight="1">
      <c r="A78" s="9" t="s">
        <v>157</v>
      </c>
      <c r="B78" s="9" t="s">
        <v>152</v>
      </c>
      <c r="C78" s="9" t="s">
        <v>65</v>
      </c>
      <c r="D78" s="9" t="s">
        <v>57</v>
      </c>
      <c r="E78" s="9" t="s">
        <v>77</v>
      </c>
      <c r="F78" s="9">
        <v>1.0</v>
      </c>
      <c r="G78" s="13" t="str">
        <f t="array" ref="G78:J78">XLOOKUP(C78,DimProductos[ID_Producto],DimProductos[[Producto]:[Precio_Lista]])</f>
        <v>Silla Ergonómica Pro</v>
      </c>
      <c r="H78" s="13" t="s">
        <v>67</v>
      </c>
      <c r="I78" s="14">
        <v>3200.0</v>
      </c>
      <c r="J78" s="14">
        <v>5699.0</v>
      </c>
      <c r="K78" s="13">
        <f t="shared" si="1"/>
        <v>5699</v>
      </c>
      <c r="L78" s="13">
        <f t="shared" si="2"/>
        <v>3200</v>
      </c>
      <c r="M78" s="15">
        <f>IFS(E78="Tarjeta de Crédito",J78*Instrucciones!$J$2,E78&lt;&gt;"Tarjeta de Crédito",0)</f>
        <v>199.465</v>
      </c>
      <c r="N78" s="15">
        <f t="shared" si="3"/>
        <v>2299.535</v>
      </c>
      <c r="O78" s="13" t="str">
        <f t="shared" si="4"/>
        <v>Ticket alto valor</v>
      </c>
    </row>
    <row r="79" ht="15.75" customHeight="1">
      <c r="A79" s="9" t="s">
        <v>158</v>
      </c>
      <c r="B79" s="9" t="s">
        <v>152</v>
      </c>
      <c r="C79" s="9" t="s">
        <v>61</v>
      </c>
      <c r="D79" s="9" t="s">
        <v>69</v>
      </c>
      <c r="E79" s="9" t="s">
        <v>58</v>
      </c>
      <c r="F79" s="9">
        <v>1.0</v>
      </c>
      <c r="G79" s="13" t="str">
        <f t="array" ref="G79:J79">XLOOKUP(C79,DimProductos[ID_Producto],DimProductos[[Producto]:[Precio_Lista]])</f>
        <v>Auriculares Noise Cancelling</v>
      </c>
      <c r="H79" s="13" t="s">
        <v>63</v>
      </c>
      <c r="I79" s="14">
        <v>1600.0</v>
      </c>
      <c r="J79" s="14">
        <v>3199.0</v>
      </c>
      <c r="K79" s="13">
        <f t="shared" si="1"/>
        <v>3199</v>
      </c>
      <c r="L79" s="13">
        <f t="shared" si="2"/>
        <v>1600</v>
      </c>
      <c r="M79" s="15">
        <f>IFS(E79="Tarjeta de Crédito",J79*Instrucciones!$J$2,E79&lt;&gt;"Tarjeta de Crédito",0)</f>
        <v>0</v>
      </c>
      <c r="N79" s="15">
        <f t="shared" si="3"/>
        <v>1599</v>
      </c>
      <c r="O79" s="13" t="str">
        <f t="shared" si="4"/>
        <v>Ticket alto valor</v>
      </c>
    </row>
    <row r="80" ht="15.75" customHeight="1">
      <c r="A80" s="9" t="s">
        <v>159</v>
      </c>
      <c r="B80" s="9" t="s">
        <v>152</v>
      </c>
      <c r="C80" s="9" t="s">
        <v>46</v>
      </c>
      <c r="D80" s="9" t="s">
        <v>69</v>
      </c>
      <c r="E80" s="9" t="s">
        <v>77</v>
      </c>
      <c r="F80" s="9">
        <v>2.0</v>
      </c>
      <c r="G80" s="13" t="str">
        <f t="array" ref="G80:J80">XLOOKUP(C80,DimProductos[ID_Producto],DimProductos[[Producto]:[Precio_Lista]])</f>
        <v>Mouse Inalámbrico Pro</v>
      </c>
      <c r="H80" s="13" t="s">
        <v>43</v>
      </c>
      <c r="I80" s="14">
        <v>420.0</v>
      </c>
      <c r="J80" s="14">
        <v>899.0</v>
      </c>
      <c r="K80" s="13">
        <f t="shared" si="1"/>
        <v>1798</v>
      </c>
      <c r="L80" s="13">
        <f t="shared" si="2"/>
        <v>840</v>
      </c>
      <c r="M80" s="15">
        <f>IFS(E80="Tarjeta de Crédito",J80*Instrucciones!$J$2,E80&lt;&gt;"Tarjeta de Crédito",0)</f>
        <v>31.465</v>
      </c>
      <c r="N80" s="15">
        <f t="shared" si="3"/>
        <v>926.535</v>
      </c>
      <c r="O80" s="13" t="str">
        <f t="shared" si="4"/>
        <v>Ticket Estandar</v>
      </c>
    </row>
    <row r="81" ht="15.75" customHeight="1">
      <c r="A81" s="9" t="s">
        <v>160</v>
      </c>
      <c r="B81" s="9" t="s">
        <v>152</v>
      </c>
      <c r="C81" s="9" t="s">
        <v>59</v>
      </c>
      <c r="D81" s="9" t="s">
        <v>69</v>
      </c>
      <c r="E81" s="9" t="s">
        <v>58</v>
      </c>
      <c r="F81" s="9">
        <v>2.0</v>
      </c>
      <c r="G81" s="13" t="str">
        <f t="array" ref="G81:J81">XLOOKUP(C81,DimProductos[ID_Producto],DimProductos[[Producto]:[Precio_Lista]])</f>
        <v>Laptop Ultrabook 14"</v>
      </c>
      <c r="H81" s="13" t="s">
        <v>56</v>
      </c>
      <c r="I81" s="14">
        <v>11200.0</v>
      </c>
      <c r="J81" s="14">
        <v>17999.0</v>
      </c>
      <c r="K81" s="13">
        <f t="shared" si="1"/>
        <v>35998</v>
      </c>
      <c r="L81" s="13">
        <f t="shared" si="2"/>
        <v>22400</v>
      </c>
      <c r="M81" s="15">
        <f>IFS(E81="Tarjeta de Crédito",J81*Instrucciones!$J$2,E81&lt;&gt;"Tarjeta de Crédito",0)</f>
        <v>0</v>
      </c>
      <c r="N81" s="15">
        <f t="shared" si="3"/>
        <v>13598</v>
      </c>
      <c r="O81" s="13" t="str">
        <f t="shared" si="4"/>
        <v>Ticket alto valor</v>
      </c>
    </row>
    <row r="82" ht="15.75" customHeight="1">
      <c r="A82" s="9" t="s">
        <v>161</v>
      </c>
      <c r="B82" s="9" t="s">
        <v>152</v>
      </c>
      <c r="C82" s="9" t="s">
        <v>33</v>
      </c>
      <c r="D82" s="9" t="s">
        <v>57</v>
      </c>
      <c r="E82" s="9" t="s">
        <v>73</v>
      </c>
      <c r="F82" s="9">
        <v>2.0</v>
      </c>
      <c r="G82" s="13" t="str">
        <f t="array" ref="G82:J82">XLOOKUP(C82,DimProductos[ID_Producto],DimProductos[[Producto]:[Precio_Lista]])</f>
        <v>Monitor Curvo 27"</v>
      </c>
      <c r="H82" s="13" t="s">
        <v>36</v>
      </c>
      <c r="I82" s="14">
        <v>2800.0</v>
      </c>
      <c r="J82" s="14">
        <v>4999.0</v>
      </c>
      <c r="K82" s="13">
        <f t="shared" si="1"/>
        <v>9998</v>
      </c>
      <c r="L82" s="13">
        <f t="shared" si="2"/>
        <v>5600</v>
      </c>
      <c r="M82" s="15">
        <f>IFS(E82="Tarjeta de Crédito",J82*Instrucciones!$J$2,E82&lt;&gt;"Tarjeta de Crédito",0)</f>
        <v>0</v>
      </c>
      <c r="N82" s="15">
        <f t="shared" si="3"/>
        <v>4398</v>
      </c>
      <c r="O82" s="13" t="str">
        <f t="shared" si="4"/>
        <v>Ticket alto valor</v>
      </c>
    </row>
    <row r="83" ht="15.75" customHeight="1">
      <c r="A83" s="9" t="s">
        <v>162</v>
      </c>
      <c r="B83" s="9" t="s">
        <v>152</v>
      </c>
      <c r="C83" s="9" t="s">
        <v>52</v>
      </c>
      <c r="D83" s="9" t="s">
        <v>57</v>
      </c>
      <c r="E83" s="9" t="s">
        <v>70</v>
      </c>
      <c r="F83" s="9">
        <v>1.0</v>
      </c>
      <c r="G83" s="13" t="str">
        <f t="array" ref="G83:J83">XLOOKUP(C83,DimProductos[ID_Producto],DimProductos[[Producto]:[Precio_Lista]])</f>
        <v>Laptop Gamer 16GB</v>
      </c>
      <c r="H83" s="13" t="s">
        <v>56</v>
      </c>
      <c r="I83" s="14">
        <v>14500.0</v>
      </c>
      <c r="J83" s="14">
        <v>22499.0</v>
      </c>
      <c r="K83" s="13">
        <f t="shared" si="1"/>
        <v>22499</v>
      </c>
      <c r="L83" s="13">
        <f t="shared" si="2"/>
        <v>14500</v>
      </c>
      <c r="M83" s="15">
        <f>IFS(E83="Tarjeta de Crédito",J83*Instrucciones!$J$2,E83&lt;&gt;"Tarjeta de Crédito",0)</f>
        <v>0</v>
      </c>
      <c r="N83" s="15">
        <f t="shared" si="3"/>
        <v>7999</v>
      </c>
      <c r="O83" s="13" t="str">
        <f t="shared" si="4"/>
        <v>Ticket alto valor</v>
      </c>
    </row>
    <row r="84" ht="15.75" customHeight="1">
      <c r="A84" s="9" t="s">
        <v>163</v>
      </c>
      <c r="B84" s="9" t="s">
        <v>152</v>
      </c>
      <c r="C84" s="9" t="s">
        <v>55</v>
      </c>
      <c r="D84" s="9" t="s">
        <v>69</v>
      </c>
      <c r="E84" s="9" t="s">
        <v>58</v>
      </c>
      <c r="F84" s="9">
        <v>1.0</v>
      </c>
      <c r="G84" s="13" t="str">
        <f t="array" ref="G84:J84">XLOOKUP(C84,DimProductos[ID_Producto],DimProductos[[Producto]:[Precio_Lista]])</f>
        <v>Micrófono USB Studio</v>
      </c>
      <c r="H84" s="13" t="s">
        <v>63</v>
      </c>
      <c r="I84" s="14">
        <v>950.0</v>
      </c>
      <c r="J84" s="14">
        <v>1899.0</v>
      </c>
      <c r="K84" s="13">
        <f t="shared" si="1"/>
        <v>1899</v>
      </c>
      <c r="L84" s="13">
        <f t="shared" si="2"/>
        <v>950</v>
      </c>
      <c r="M84" s="15">
        <f>IFS(E84="Tarjeta de Crédito",J84*Instrucciones!$J$2,E84&lt;&gt;"Tarjeta de Crédito",0)</f>
        <v>0</v>
      </c>
      <c r="N84" s="15">
        <f t="shared" si="3"/>
        <v>949</v>
      </c>
      <c r="O84" s="13" t="str">
        <f t="shared" si="4"/>
        <v>Ticket Estandar</v>
      </c>
    </row>
    <row r="85" ht="15.75" customHeight="1">
      <c r="A85" s="9" t="s">
        <v>164</v>
      </c>
      <c r="B85" s="9" t="s">
        <v>152</v>
      </c>
      <c r="C85" s="9" t="s">
        <v>61</v>
      </c>
      <c r="D85" s="9" t="s">
        <v>57</v>
      </c>
      <c r="E85" s="9" t="s">
        <v>58</v>
      </c>
      <c r="F85" s="9">
        <v>2.0</v>
      </c>
      <c r="G85" s="13" t="str">
        <f t="array" ref="G85:J85">XLOOKUP(C85,DimProductos[ID_Producto],DimProductos[[Producto]:[Precio_Lista]])</f>
        <v>Auriculares Noise Cancelling</v>
      </c>
      <c r="H85" s="13" t="s">
        <v>63</v>
      </c>
      <c r="I85" s="14">
        <v>1600.0</v>
      </c>
      <c r="J85" s="14">
        <v>3199.0</v>
      </c>
      <c r="K85" s="13">
        <f t="shared" si="1"/>
        <v>6398</v>
      </c>
      <c r="L85" s="13">
        <f t="shared" si="2"/>
        <v>3200</v>
      </c>
      <c r="M85" s="15">
        <f>IFS(E85="Tarjeta de Crédito",J85*Instrucciones!$J$2,E85&lt;&gt;"Tarjeta de Crédito",0)</f>
        <v>0</v>
      </c>
      <c r="N85" s="15">
        <f t="shared" si="3"/>
        <v>3198</v>
      </c>
      <c r="O85" s="13" t="str">
        <f t="shared" si="4"/>
        <v>Ticket alto valor</v>
      </c>
    </row>
    <row r="86" ht="15.75" customHeight="1">
      <c r="A86" s="9" t="s">
        <v>165</v>
      </c>
      <c r="B86" s="9" t="s">
        <v>152</v>
      </c>
      <c r="C86" s="9" t="s">
        <v>52</v>
      </c>
      <c r="D86" s="9" t="s">
        <v>79</v>
      </c>
      <c r="E86" s="9" t="s">
        <v>70</v>
      </c>
      <c r="F86" s="9">
        <v>2.0</v>
      </c>
      <c r="G86" s="13" t="str">
        <f t="array" ref="G86:J86">XLOOKUP(C86,DimProductos[ID_Producto],DimProductos[[Producto]:[Precio_Lista]])</f>
        <v>Laptop Gamer 16GB</v>
      </c>
      <c r="H86" s="13" t="s">
        <v>56</v>
      </c>
      <c r="I86" s="14">
        <v>14500.0</v>
      </c>
      <c r="J86" s="14">
        <v>22499.0</v>
      </c>
      <c r="K86" s="13">
        <f t="shared" si="1"/>
        <v>44998</v>
      </c>
      <c r="L86" s="13">
        <f t="shared" si="2"/>
        <v>29000</v>
      </c>
      <c r="M86" s="15">
        <f>IFS(E86="Tarjeta de Crédito",J86*Instrucciones!$J$2,E86&lt;&gt;"Tarjeta de Crédito",0)</f>
        <v>0</v>
      </c>
      <c r="N86" s="15">
        <f t="shared" si="3"/>
        <v>15998</v>
      </c>
      <c r="O86" s="13" t="str">
        <f t="shared" si="4"/>
        <v>Ticket alto valor</v>
      </c>
    </row>
    <row r="87" ht="15.75" customHeight="1">
      <c r="A87" s="9" t="s">
        <v>166</v>
      </c>
      <c r="B87" s="9" t="s">
        <v>152</v>
      </c>
      <c r="C87" s="9" t="s">
        <v>52</v>
      </c>
      <c r="D87" s="9" t="s">
        <v>57</v>
      </c>
      <c r="E87" s="9" t="s">
        <v>70</v>
      </c>
      <c r="F87" s="9">
        <v>2.0</v>
      </c>
      <c r="G87" s="13" t="str">
        <f t="array" ref="G87:J87">XLOOKUP(C87,DimProductos[ID_Producto],DimProductos[[Producto]:[Precio_Lista]])</f>
        <v>Laptop Gamer 16GB</v>
      </c>
      <c r="H87" s="13" t="s">
        <v>56</v>
      </c>
      <c r="I87" s="14">
        <v>14500.0</v>
      </c>
      <c r="J87" s="14">
        <v>22499.0</v>
      </c>
      <c r="K87" s="13">
        <f t="shared" si="1"/>
        <v>44998</v>
      </c>
      <c r="L87" s="13">
        <f t="shared" si="2"/>
        <v>29000</v>
      </c>
      <c r="M87" s="15">
        <f>IFS(E87="Tarjeta de Crédito",J87*Instrucciones!$J$2,E87&lt;&gt;"Tarjeta de Crédito",0)</f>
        <v>0</v>
      </c>
      <c r="N87" s="15">
        <f t="shared" si="3"/>
        <v>15998</v>
      </c>
      <c r="O87" s="13" t="str">
        <f t="shared" si="4"/>
        <v>Ticket alto valor</v>
      </c>
    </row>
    <row r="88" ht="15.75" customHeight="1">
      <c r="A88" s="9" t="s">
        <v>167</v>
      </c>
      <c r="B88" s="9" t="s">
        <v>168</v>
      </c>
      <c r="C88" s="9" t="s">
        <v>40</v>
      </c>
      <c r="D88" s="9" t="s">
        <v>79</v>
      </c>
      <c r="E88" s="9" t="s">
        <v>70</v>
      </c>
      <c r="F88" s="9">
        <v>3.0</v>
      </c>
      <c r="G88" s="13" t="str">
        <f t="array" ref="G88:J88">XLOOKUP(C88,DimProductos[ID_Producto],DimProductos[[Producto]:[Precio_Lista]])</f>
        <v>Teclado Mecánico RGB</v>
      </c>
      <c r="H88" s="13" t="s">
        <v>43</v>
      </c>
      <c r="I88" s="14">
        <v>650.0</v>
      </c>
      <c r="J88" s="14">
        <v>1350.0</v>
      </c>
      <c r="K88" s="13">
        <f t="shared" si="1"/>
        <v>4050</v>
      </c>
      <c r="L88" s="13">
        <f t="shared" si="2"/>
        <v>1950</v>
      </c>
      <c r="M88" s="15">
        <f>IFS(E88="Tarjeta de Crédito",J88*Instrucciones!$J$2,E88&lt;&gt;"Tarjeta de Crédito",0)</f>
        <v>0</v>
      </c>
      <c r="N88" s="15">
        <f t="shared" si="3"/>
        <v>2100</v>
      </c>
      <c r="O88" s="13" t="str">
        <f t="shared" si="4"/>
        <v>Ticket alto valor</v>
      </c>
    </row>
    <row r="89" ht="15.75" customHeight="1">
      <c r="A89" s="9" t="s">
        <v>169</v>
      </c>
      <c r="B89" s="9" t="s">
        <v>168</v>
      </c>
      <c r="C89" s="9" t="s">
        <v>55</v>
      </c>
      <c r="D89" s="9" t="s">
        <v>69</v>
      </c>
      <c r="E89" s="9" t="s">
        <v>70</v>
      </c>
      <c r="F89" s="9">
        <v>1.0</v>
      </c>
      <c r="G89" s="13" t="str">
        <f t="array" ref="G89:J89">XLOOKUP(C89,DimProductos[ID_Producto],DimProductos[[Producto]:[Precio_Lista]])</f>
        <v>Micrófono USB Studio</v>
      </c>
      <c r="H89" s="13" t="s">
        <v>63</v>
      </c>
      <c r="I89" s="14">
        <v>950.0</v>
      </c>
      <c r="J89" s="14">
        <v>1899.0</v>
      </c>
      <c r="K89" s="13">
        <f t="shared" si="1"/>
        <v>1899</v>
      </c>
      <c r="L89" s="13">
        <f t="shared" si="2"/>
        <v>950</v>
      </c>
      <c r="M89" s="15">
        <f>IFS(E89="Tarjeta de Crédito",J89*Instrucciones!$J$2,E89&lt;&gt;"Tarjeta de Crédito",0)</f>
        <v>0</v>
      </c>
      <c r="N89" s="15">
        <f t="shared" si="3"/>
        <v>949</v>
      </c>
      <c r="O89" s="13" t="str">
        <f t="shared" si="4"/>
        <v>Ticket Estandar</v>
      </c>
    </row>
    <row r="90" ht="15.75" customHeight="1">
      <c r="A90" s="9" t="s">
        <v>170</v>
      </c>
      <c r="B90" s="9" t="s">
        <v>168</v>
      </c>
      <c r="C90" s="9" t="s">
        <v>52</v>
      </c>
      <c r="D90" s="9" t="s">
        <v>79</v>
      </c>
      <c r="E90" s="9" t="s">
        <v>70</v>
      </c>
      <c r="F90" s="9">
        <v>3.0</v>
      </c>
      <c r="G90" s="13" t="str">
        <f t="array" ref="G90:J90">XLOOKUP(C90,DimProductos[ID_Producto],DimProductos[[Producto]:[Precio_Lista]])</f>
        <v>Laptop Gamer 16GB</v>
      </c>
      <c r="H90" s="13" t="s">
        <v>56</v>
      </c>
      <c r="I90" s="14">
        <v>14500.0</v>
      </c>
      <c r="J90" s="14">
        <v>22499.0</v>
      </c>
      <c r="K90" s="13">
        <f t="shared" si="1"/>
        <v>67497</v>
      </c>
      <c r="L90" s="13">
        <f t="shared" si="2"/>
        <v>43500</v>
      </c>
      <c r="M90" s="15">
        <f>IFS(E90="Tarjeta de Crédito",J90*Instrucciones!$J$2,E90&lt;&gt;"Tarjeta de Crédito",0)</f>
        <v>0</v>
      </c>
      <c r="N90" s="15">
        <f t="shared" si="3"/>
        <v>23997</v>
      </c>
      <c r="O90" s="13" t="str">
        <f t="shared" si="4"/>
        <v>Ticket alto valor</v>
      </c>
    </row>
    <row r="91" ht="15.75" customHeight="1">
      <c r="A91" s="9" t="s">
        <v>171</v>
      </c>
      <c r="B91" s="9" t="s">
        <v>168</v>
      </c>
      <c r="C91" s="9" t="s">
        <v>46</v>
      </c>
      <c r="D91" s="9" t="s">
        <v>69</v>
      </c>
      <c r="E91" s="9" t="s">
        <v>70</v>
      </c>
      <c r="F91" s="9">
        <v>1.0</v>
      </c>
      <c r="G91" s="13" t="str">
        <f t="array" ref="G91:J91">XLOOKUP(C91,DimProductos[ID_Producto],DimProductos[[Producto]:[Precio_Lista]])</f>
        <v>Mouse Inalámbrico Pro</v>
      </c>
      <c r="H91" s="13" t="s">
        <v>43</v>
      </c>
      <c r="I91" s="14">
        <v>420.0</v>
      </c>
      <c r="J91" s="14">
        <v>899.0</v>
      </c>
      <c r="K91" s="13">
        <f t="shared" si="1"/>
        <v>899</v>
      </c>
      <c r="L91" s="13">
        <f t="shared" si="2"/>
        <v>420</v>
      </c>
      <c r="M91" s="15">
        <f>IFS(E91="Tarjeta de Crédito",J91*Instrucciones!$J$2,E91&lt;&gt;"Tarjeta de Crédito",0)</f>
        <v>0</v>
      </c>
      <c r="N91" s="15">
        <f t="shared" si="3"/>
        <v>479</v>
      </c>
      <c r="O91" s="13" t="str">
        <f t="shared" si="4"/>
        <v>Ticket Estandar</v>
      </c>
    </row>
    <row r="92" ht="15.75" customHeight="1">
      <c r="A92" s="9" t="s">
        <v>172</v>
      </c>
      <c r="B92" s="9" t="s">
        <v>168</v>
      </c>
      <c r="C92" s="9" t="s">
        <v>59</v>
      </c>
      <c r="D92" s="9" t="s">
        <v>57</v>
      </c>
      <c r="E92" s="9" t="s">
        <v>73</v>
      </c>
      <c r="F92" s="9">
        <v>1.0</v>
      </c>
      <c r="G92" s="13" t="str">
        <f t="array" ref="G92:J92">XLOOKUP(C92,DimProductos[ID_Producto],DimProductos[[Producto]:[Precio_Lista]])</f>
        <v>Laptop Ultrabook 14"</v>
      </c>
      <c r="H92" s="13" t="s">
        <v>56</v>
      </c>
      <c r="I92" s="14">
        <v>11200.0</v>
      </c>
      <c r="J92" s="14">
        <v>17999.0</v>
      </c>
      <c r="K92" s="13">
        <f t="shared" si="1"/>
        <v>17999</v>
      </c>
      <c r="L92" s="13">
        <f t="shared" si="2"/>
        <v>11200</v>
      </c>
      <c r="M92" s="15">
        <f>IFS(E92="Tarjeta de Crédito",J92*Instrucciones!$J$2,E92&lt;&gt;"Tarjeta de Crédito",0)</f>
        <v>0</v>
      </c>
      <c r="N92" s="15">
        <f t="shared" si="3"/>
        <v>6799</v>
      </c>
      <c r="O92" s="13" t="str">
        <f t="shared" si="4"/>
        <v>Ticket alto valor</v>
      </c>
    </row>
    <row r="93" ht="15.75" customHeight="1">
      <c r="A93" s="9" t="s">
        <v>173</v>
      </c>
      <c r="B93" s="9" t="s">
        <v>168</v>
      </c>
      <c r="C93" s="9" t="s">
        <v>55</v>
      </c>
      <c r="D93" s="9" t="s">
        <v>79</v>
      </c>
      <c r="E93" s="9" t="s">
        <v>70</v>
      </c>
      <c r="F93" s="9">
        <v>1.0</v>
      </c>
      <c r="G93" s="13" t="str">
        <f t="array" ref="G93:J93">XLOOKUP(C93,DimProductos[ID_Producto],DimProductos[[Producto]:[Precio_Lista]])</f>
        <v>Micrófono USB Studio</v>
      </c>
      <c r="H93" s="13" t="s">
        <v>63</v>
      </c>
      <c r="I93" s="14">
        <v>950.0</v>
      </c>
      <c r="J93" s="14">
        <v>1899.0</v>
      </c>
      <c r="K93" s="13">
        <f t="shared" si="1"/>
        <v>1899</v>
      </c>
      <c r="L93" s="13">
        <f t="shared" si="2"/>
        <v>950</v>
      </c>
      <c r="M93" s="15">
        <f>IFS(E93="Tarjeta de Crédito",J93*Instrucciones!$J$2,E93&lt;&gt;"Tarjeta de Crédito",0)</f>
        <v>0</v>
      </c>
      <c r="N93" s="15">
        <f t="shared" si="3"/>
        <v>949</v>
      </c>
      <c r="O93" s="13" t="str">
        <f t="shared" si="4"/>
        <v>Ticket Estandar</v>
      </c>
    </row>
    <row r="94" ht="15.75" customHeight="1">
      <c r="A94" s="9" t="s">
        <v>174</v>
      </c>
      <c r="B94" s="9" t="s">
        <v>168</v>
      </c>
      <c r="C94" s="9" t="s">
        <v>52</v>
      </c>
      <c r="D94" s="9" t="s">
        <v>69</v>
      </c>
      <c r="E94" s="9" t="s">
        <v>58</v>
      </c>
      <c r="F94" s="9">
        <v>4.0</v>
      </c>
      <c r="G94" s="13" t="str">
        <f t="array" ref="G94:J94">XLOOKUP(C94,DimProductos[ID_Producto],DimProductos[[Producto]:[Precio_Lista]])</f>
        <v>Laptop Gamer 16GB</v>
      </c>
      <c r="H94" s="13" t="s">
        <v>56</v>
      </c>
      <c r="I94" s="14">
        <v>14500.0</v>
      </c>
      <c r="J94" s="14">
        <v>22499.0</v>
      </c>
      <c r="K94" s="13">
        <f t="shared" si="1"/>
        <v>89996</v>
      </c>
      <c r="L94" s="13">
        <f t="shared" si="2"/>
        <v>58000</v>
      </c>
      <c r="M94" s="15">
        <f>IFS(E94="Tarjeta de Crédito",J94*Instrucciones!$J$2,E94&lt;&gt;"Tarjeta de Crédito",0)</f>
        <v>0</v>
      </c>
      <c r="N94" s="15">
        <f t="shared" si="3"/>
        <v>31996</v>
      </c>
      <c r="O94" s="13" t="str">
        <f t="shared" si="4"/>
        <v>Ticket alto valor</v>
      </c>
    </row>
    <row r="95" ht="15.75" customHeight="1">
      <c r="A95" s="9" t="s">
        <v>175</v>
      </c>
      <c r="B95" s="9" t="s">
        <v>168</v>
      </c>
      <c r="C95" s="9" t="s">
        <v>61</v>
      </c>
      <c r="D95" s="9" t="s">
        <v>79</v>
      </c>
      <c r="E95" s="9" t="s">
        <v>58</v>
      </c>
      <c r="F95" s="9">
        <v>2.0</v>
      </c>
      <c r="G95" s="13" t="str">
        <f t="array" ref="G95:J95">XLOOKUP(C95,DimProductos[ID_Producto],DimProductos[[Producto]:[Precio_Lista]])</f>
        <v>Auriculares Noise Cancelling</v>
      </c>
      <c r="H95" s="13" t="s">
        <v>63</v>
      </c>
      <c r="I95" s="14">
        <v>1600.0</v>
      </c>
      <c r="J95" s="14">
        <v>3199.0</v>
      </c>
      <c r="K95" s="13">
        <f t="shared" si="1"/>
        <v>6398</v>
      </c>
      <c r="L95" s="13">
        <f t="shared" si="2"/>
        <v>3200</v>
      </c>
      <c r="M95" s="15">
        <f>IFS(E95="Tarjeta de Crédito",J95*Instrucciones!$J$2,E95&lt;&gt;"Tarjeta de Crédito",0)</f>
        <v>0</v>
      </c>
      <c r="N95" s="15">
        <f t="shared" si="3"/>
        <v>3198</v>
      </c>
      <c r="O95" s="13" t="str">
        <f t="shared" si="4"/>
        <v>Ticket alto valor</v>
      </c>
    </row>
    <row r="96" ht="15.75" customHeight="1">
      <c r="A96" s="9" t="s">
        <v>176</v>
      </c>
      <c r="B96" s="9" t="s">
        <v>168</v>
      </c>
      <c r="C96" s="9" t="s">
        <v>59</v>
      </c>
      <c r="D96" s="9" t="s">
        <v>69</v>
      </c>
      <c r="E96" s="9" t="s">
        <v>70</v>
      </c>
      <c r="F96" s="9">
        <v>2.0</v>
      </c>
      <c r="G96" s="13" t="str">
        <f t="array" ref="G96:J96">XLOOKUP(C96,DimProductos[ID_Producto],DimProductos[[Producto]:[Precio_Lista]])</f>
        <v>Laptop Ultrabook 14"</v>
      </c>
      <c r="H96" s="13" t="s">
        <v>56</v>
      </c>
      <c r="I96" s="14">
        <v>11200.0</v>
      </c>
      <c r="J96" s="14">
        <v>17999.0</v>
      </c>
      <c r="K96" s="13">
        <f t="shared" si="1"/>
        <v>35998</v>
      </c>
      <c r="L96" s="13">
        <f t="shared" si="2"/>
        <v>22400</v>
      </c>
      <c r="M96" s="15">
        <f>IFS(E96="Tarjeta de Crédito",J96*Instrucciones!$J$2,E96&lt;&gt;"Tarjeta de Crédito",0)</f>
        <v>0</v>
      </c>
      <c r="N96" s="15">
        <f t="shared" si="3"/>
        <v>13598</v>
      </c>
      <c r="O96" s="13" t="str">
        <f t="shared" si="4"/>
        <v>Ticket alto valor</v>
      </c>
    </row>
    <row r="97" ht="15.75" customHeight="1">
      <c r="A97" s="9" t="s">
        <v>177</v>
      </c>
      <c r="B97" s="9" t="s">
        <v>168</v>
      </c>
      <c r="C97" s="9" t="s">
        <v>55</v>
      </c>
      <c r="D97" s="9" t="s">
        <v>72</v>
      </c>
      <c r="E97" s="9" t="s">
        <v>73</v>
      </c>
      <c r="F97" s="9">
        <v>2.0</v>
      </c>
      <c r="G97" s="13" t="str">
        <f t="array" ref="G97:J97">XLOOKUP(C97,DimProductos[ID_Producto],DimProductos[[Producto]:[Precio_Lista]])</f>
        <v>Micrófono USB Studio</v>
      </c>
      <c r="H97" s="13" t="s">
        <v>63</v>
      </c>
      <c r="I97" s="14">
        <v>950.0</v>
      </c>
      <c r="J97" s="14">
        <v>1899.0</v>
      </c>
      <c r="K97" s="13">
        <f t="shared" si="1"/>
        <v>3798</v>
      </c>
      <c r="L97" s="13">
        <f t="shared" si="2"/>
        <v>1900</v>
      </c>
      <c r="M97" s="15">
        <f>IFS(E97="Tarjeta de Crédito",J97*Instrucciones!$J$2,E97&lt;&gt;"Tarjeta de Crédito",0)</f>
        <v>0</v>
      </c>
      <c r="N97" s="15">
        <f t="shared" si="3"/>
        <v>1898</v>
      </c>
      <c r="O97" s="13" t="str">
        <f t="shared" si="4"/>
        <v>Ticket alto valor</v>
      </c>
    </row>
    <row r="98" ht="15.75" customHeight="1">
      <c r="A98" s="9" t="s">
        <v>178</v>
      </c>
      <c r="B98" s="9" t="s">
        <v>168</v>
      </c>
      <c r="C98" s="9" t="s">
        <v>40</v>
      </c>
      <c r="D98" s="9" t="s">
        <v>72</v>
      </c>
      <c r="E98" s="9" t="s">
        <v>70</v>
      </c>
      <c r="F98" s="9">
        <v>1.0</v>
      </c>
      <c r="G98" s="13" t="str">
        <f t="array" ref="G98:J98">XLOOKUP(C98,DimProductos[ID_Producto],DimProductos[[Producto]:[Precio_Lista]])</f>
        <v>Teclado Mecánico RGB</v>
      </c>
      <c r="H98" s="13" t="s">
        <v>43</v>
      </c>
      <c r="I98" s="14">
        <v>650.0</v>
      </c>
      <c r="J98" s="14">
        <v>1350.0</v>
      </c>
      <c r="K98" s="13">
        <f t="shared" si="1"/>
        <v>1350</v>
      </c>
      <c r="L98" s="13">
        <f t="shared" si="2"/>
        <v>650</v>
      </c>
      <c r="M98" s="15">
        <f>IFS(E98="Tarjeta de Crédito",J98*Instrucciones!$J$2,E98&lt;&gt;"Tarjeta de Crédito",0)</f>
        <v>0</v>
      </c>
      <c r="N98" s="15">
        <f t="shared" si="3"/>
        <v>700</v>
      </c>
      <c r="O98" s="13" t="str">
        <f t="shared" si="4"/>
        <v>Ticket Estandar</v>
      </c>
    </row>
    <row r="99" ht="15.75" customHeight="1">
      <c r="A99" s="9" t="s">
        <v>179</v>
      </c>
      <c r="B99" s="9" t="s">
        <v>168</v>
      </c>
      <c r="C99" s="9" t="s">
        <v>55</v>
      </c>
      <c r="D99" s="9" t="s">
        <v>72</v>
      </c>
      <c r="E99" s="9" t="s">
        <v>73</v>
      </c>
      <c r="F99" s="9">
        <v>4.0</v>
      </c>
      <c r="G99" s="13" t="str">
        <f t="array" ref="G99:J99">XLOOKUP(C99,DimProductos[ID_Producto],DimProductos[[Producto]:[Precio_Lista]])</f>
        <v>Micrófono USB Studio</v>
      </c>
      <c r="H99" s="13" t="s">
        <v>63</v>
      </c>
      <c r="I99" s="14">
        <v>950.0</v>
      </c>
      <c r="J99" s="14">
        <v>1899.0</v>
      </c>
      <c r="K99" s="13">
        <f t="shared" si="1"/>
        <v>7596</v>
      </c>
      <c r="L99" s="13">
        <f t="shared" si="2"/>
        <v>3800</v>
      </c>
      <c r="M99" s="15">
        <f>IFS(E99="Tarjeta de Crédito",J99*Instrucciones!$J$2,E99&lt;&gt;"Tarjeta de Crédito",0)</f>
        <v>0</v>
      </c>
      <c r="N99" s="15">
        <f t="shared" si="3"/>
        <v>3796</v>
      </c>
      <c r="O99" s="13" t="str">
        <f t="shared" si="4"/>
        <v>Ticket alto valor</v>
      </c>
    </row>
    <row r="100" ht="15.75" customHeight="1">
      <c r="A100" s="9" t="s">
        <v>180</v>
      </c>
      <c r="B100" s="9" t="s">
        <v>168</v>
      </c>
      <c r="C100" s="9" t="s">
        <v>65</v>
      </c>
      <c r="D100" s="9" t="s">
        <v>69</v>
      </c>
      <c r="E100" s="9" t="s">
        <v>73</v>
      </c>
      <c r="F100" s="9">
        <v>1.0</v>
      </c>
      <c r="G100" s="13" t="str">
        <f t="array" ref="G100:J100">XLOOKUP(C100,DimProductos[ID_Producto],DimProductos[[Producto]:[Precio_Lista]])</f>
        <v>Silla Ergonómica Pro</v>
      </c>
      <c r="H100" s="13" t="s">
        <v>67</v>
      </c>
      <c r="I100" s="14">
        <v>3200.0</v>
      </c>
      <c r="J100" s="14">
        <v>5699.0</v>
      </c>
      <c r="K100" s="13">
        <f t="shared" si="1"/>
        <v>5699</v>
      </c>
      <c r="L100" s="13">
        <f t="shared" si="2"/>
        <v>3200</v>
      </c>
      <c r="M100" s="15">
        <f>IFS(E100="Tarjeta de Crédito",J100*Instrucciones!$J$2,E100&lt;&gt;"Tarjeta de Crédito",0)</f>
        <v>0</v>
      </c>
      <c r="N100" s="15">
        <f t="shared" si="3"/>
        <v>2499</v>
      </c>
      <c r="O100" s="13" t="str">
        <f t="shared" si="4"/>
        <v>Ticket alto valor</v>
      </c>
    </row>
    <row r="101" ht="15.75" customHeight="1">
      <c r="A101" s="9" t="s">
        <v>181</v>
      </c>
      <c r="B101" s="9" t="s">
        <v>168</v>
      </c>
      <c r="C101" s="9" t="s">
        <v>59</v>
      </c>
      <c r="D101" s="9" t="s">
        <v>79</v>
      </c>
      <c r="E101" s="9" t="s">
        <v>73</v>
      </c>
      <c r="F101" s="9">
        <v>1.0</v>
      </c>
      <c r="G101" s="13" t="str">
        <f t="array" ref="G101:J101">XLOOKUP(C101,DimProductos[ID_Producto],DimProductos[[Producto]:[Precio_Lista]])</f>
        <v>Laptop Ultrabook 14"</v>
      </c>
      <c r="H101" s="13" t="s">
        <v>56</v>
      </c>
      <c r="I101" s="14">
        <v>11200.0</v>
      </c>
      <c r="J101" s="14">
        <v>17999.0</v>
      </c>
      <c r="K101" s="13">
        <f t="shared" si="1"/>
        <v>17999</v>
      </c>
      <c r="L101" s="13">
        <f t="shared" si="2"/>
        <v>11200</v>
      </c>
      <c r="M101" s="15">
        <f>IFS(E101="Tarjeta de Crédito",J101*Instrucciones!$J$2,E101&lt;&gt;"Tarjeta de Crédito",0)</f>
        <v>0</v>
      </c>
      <c r="N101" s="15">
        <f t="shared" si="3"/>
        <v>6799</v>
      </c>
      <c r="O101" s="13" t="str">
        <f t="shared" si="4"/>
        <v>Ticket alto valor</v>
      </c>
    </row>
    <row r="102" ht="15.75" customHeight="1">
      <c r="A102" s="9" t="s">
        <v>182</v>
      </c>
      <c r="B102" s="9" t="s">
        <v>168</v>
      </c>
      <c r="C102" s="9" t="s">
        <v>61</v>
      </c>
      <c r="D102" s="9" t="s">
        <v>72</v>
      </c>
      <c r="E102" s="9" t="s">
        <v>77</v>
      </c>
      <c r="F102" s="9">
        <v>1.0</v>
      </c>
      <c r="G102" s="13" t="str">
        <f t="array" ref="G102:J102">XLOOKUP(C102,DimProductos[ID_Producto],DimProductos[[Producto]:[Precio_Lista]])</f>
        <v>Auriculares Noise Cancelling</v>
      </c>
      <c r="H102" s="13" t="s">
        <v>63</v>
      </c>
      <c r="I102" s="14">
        <v>1600.0</v>
      </c>
      <c r="J102" s="14">
        <v>3199.0</v>
      </c>
      <c r="K102" s="13">
        <f t="shared" si="1"/>
        <v>3199</v>
      </c>
      <c r="L102" s="13">
        <f t="shared" si="2"/>
        <v>1600</v>
      </c>
      <c r="M102" s="15">
        <f>IFS(E102="Tarjeta de Crédito",J102*Instrucciones!$J$2,E102&lt;&gt;"Tarjeta de Crédito",0)</f>
        <v>111.965</v>
      </c>
      <c r="N102" s="15">
        <f t="shared" si="3"/>
        <v>1487.035</v>
      </c>
      <c r="O102" s="13" t="str">
        <f t="shared" si="4"/>
        <v>Ticket Estandar</v>
      </c>
    </row>
    <row r="103" ht="15.75" customHeight="1">
      <c r="A103" s="9" t="s">
        <v>183</v>
      </c>
      <c r="B103" s="9" t="s">
        <v>168</v>
      </c>
      <c r="C103" s="9" t="s">
        <v>65</v>
      </c>
      <c r="D103" s="9" t="s">
        <v>79</v>
      </c>
      <c r="E103" s="9" t="s">
        <v>70</v>
      </c>
      <c r="F103" s="9">
        <v>2.0</v>
      </c>
      <c r="G103" s="13" t="str">
        <f t="array" ref="G103:J103">XLOOKUP(C103,DimProductos[ID_Producto],DimProductos[[Producto]:[Precio_Lista]])</f>
        <v>Silla Ergonómica Pro</v>
      </c>
      <c r="H103" s="13" t="s">
        <v>67</v>
      </c>
      <c r="I103" s="14">
        <v>3200.0</v>
      </c>
      <c r="J103" s="14">
        <v>5699.0</v>
      </c>
      <c r="K103" s="13">
        <f t="shared" si="1"/>
        <v>11398</v>
      </c>
      <c r="L103" s="13">
        <f t="shared" si="2"/>
        <v>6400</v>
      </c>
      <c r="M103" s="15">
        <f>IFS(E103="Tarjeta de Crédito",J103*Instrucciones!$J$2,E103&lt;&gt;"Tarjeta de Crédito",0)</f>
        <v>0</v>
      </c>
      <c r="N103" s="15">
        <f t="shared" si="3"/>
        <v>4998</v>
      </c>
      <c r="O103" s="13" t="str">
        <f t="shared" si="4"/>
        <v>Ticket alto valor</v>
      </c>
    </row>
    <row r="104" ht="15.75" customHeight="1">
      <c r="A104" s="9" t="s">
        <v>184</v>
      </c>
      <c r="B104" s="9" t="s">
        <v>168</v>
      </c>
      <c r="C104" s="9" t="s">
        <v>33</v>
      </c>
      <c r="D104" s="9" t="s">
        <v>69</v>
      </c>
      <c r="E104" s="9" t="s">
        <v>77</v>
      </c>
      <c r="F104" s="9">
        <v>4.0</v>
      </c>
      <c r="G104" s="13" t="str">
        <f t="array" ref="G104:J104">XLOOKUP(C104,DimProductos[ID_Producto],DimProductos[[Producto]:[Precio_Lista]])</f>
        <v>Monitor Curvo 27"</v>
      </c>
      <c r="H104" s="13" t="s">
        <v>36</v>
      </c>
      <c r="I104" s="14">
        <v>2800.0</v>
      </c>
      <c r="J104" s="14">
        <v>4999.0</v>
      </c>
      <c r="K104" s="13">
        <f t="shared" si="1"/>
        <v>19996</v>
      </c>
      <c r="L104" s="13">
        <f t="shared" si="2"/>
        <v>11200</v>
      </c>
      <c r="M104" s="15">
        <f>IFS(E104="Tarjeta de Crédito",J104*Instrucciones!$J$2,E104&lt;&gt;"Tarjeta de Crédito",0)</f>
        <v>174.965</v>
      </c>
      <c r="N104" s="15">
        <f t="shared" si="3"/>
        <v>8621.035</v>
      </c>
      <c r="O104" s="13" t="str">
        <f t="shared" si="4"/>
        <v>Ticket alto valor</v>
      </c>
    </row>
    <row r="105" ht="15.75" customHeight="1">
      <c r="A105" s="9" t="s">
        <v>185</v>
      </c>
      <c r="B105" s="9" t="s">
        <v>186</v>
      </c>
      <c r="C105" s="9" t="s">
        <v>65</v>
      </c>
      <c r="D105" s="9" t="s">
        <v>72</v>
      </c>
      <c r="E105" s="9" t="s">
        <v>58</v>
      </c>
      <c r="F105" s="9">
        <v>3.0</v>
      </c>
      <c r="G105" s="13" t="str">
        <f t="array" ref="G105:J105">XLOOKUP(C105,DimProductos[ID_Producto],DimProductos[[Producto]:[Precio_Lista]])</f>
        <v>Silla Ergonómica Pro</v>
      </c>
      <c r="H105" s="13" t="s">
        <v>67</v>
      </c>
      <c r="I105" s="14">
        <v>3200.0</v>
      </c>
      <c r="J105" s="14">
        <v>5699.0</v>
      </c>
      <c r="K105" s="13">
        <f t="shared" si="1"/>
        <v>17097</v>
      </c>
      <c r="L105" s="13">
        <f t="shared" si="2"/>
        <v>9600</v>
      </c>
      <c r="M105" s="15">
        <f>IFS(E105="Tarjeta de Crédito",J105*Instrucciones!$J$2,E105&lt;&gt;"Tarjeta de Crédito",0)</f>
        <v>0</v>
      </c>
      <c r="N105" s="15">
        <f t="shared" si="3"/>
        <v>7497</v>
      </c>
      <c r="O105" s="13" t="str">
        <f t="shared" si="4"/>
        <v>Ticket alto valor</v>
      </c>
    </row>
    <row r="106" ht="15.75" customHeight="1">
      <c r="A106" s="9" t="s">
        <v>187</v>
      </c>
      <c r="B106" s="9" t="s">
        <v>186</v>
      </c>
      <c r="C106" s="9" t="s">
        <v>33</v>
      </c>
      <c r="D106" s="9" t="s">
        <v>69</v>
      </c>
      <c r="E106" s="9" t="s">
        <v>77</v>
      </c>
      <c r="F106" s="9">
        <v>1.0</v>
      </c>
      <c r="G106" s="13" t="str">
        <f t="array" ref="G106:J106">XLOOKUP(C106,DimProductos[ID_Producto],DimProductos[[Producto]:[Precio_Lista]])</f>
        <v>Monitor Curvo 27"</v>
      </c>
      <c r="H106" s="13" t="s">
        <v>36</v>
      </c>
      <c r="I106" s="14">
        <v>2800.0</v>
      </c>
      <c r="J106" s="14">
        <v>4999.0</v>
      </c>
      <c r="K106" s="13">
        <f t="shared" si="1"/>
        <v>4999</v>
      </c>
      <c r="L106" s="13">
        <f t="shared" si="2"/>
        <v>2800</v>
      </c>
      <c r="M106" s="15">
        <f>IFS(E106="Tarjeta de Crédito",J106*Instrucciones!$J$2,E106&lt;&gt;"Tarjeta de Crédito",0)</f>
        <v>174.965</v>
      </c>
      <c r="N106" s="15">
        <f t="shared" si="3"/>
        <v>2024.035</v>
      </c>
      <c r="O106" s="13" t="str">
        <f t="shared" si="4"/>
        <v>Ticket alto valor</v>
      </c>
    </row>
    <row r="107" ht="15.75" customHeight="1">
      <c r="A107" s="9" t="s">
        <v>188</v>
      </c>
      <c r="B107" s="9" t="s">
        <v>186</v>
      </c>
      <c r="C107" s="9" t="s">
        <v>65</v>
      </c>
      <c r="D107" s="9" t="s">
        <v>69</v>
      </c>
      <c r="E107" s="9" t="s">
        <v>77</v>
      </c>
      <c r="F107" s="9">
        <v>2.0</v>
      </c>
      <c r="G107" s="13" t="str">
        <f t="array" ref="G107:J107">XLOOKUP(C107,DimProductos[ID_Producto],DimProductos[[Producto]:[Precio_Lista]])</f>
        <v>Silla Ergonómica Pro</v>
      </c>
      <c r="H107" s="13" t="s">
        <v>67</v>
      </c>
      <c r="I107" s="14">
        <v>3200.0</v>
      </c>
      <c r="J107" s="14">
        <v>5699.0</v>
      </c>
      <c r="K107" s="13">
        <f t="shared" si="1"/>
        <v>11398</v>
      </c>
      <c r="L107" s="13">
        <f t="shared" si="2"/>
        <v>6400</v>
      </c>
      <c r="M107" s="15">
        <f>IFS(E107="Tarjeta de Crédito",J107*Instrucciones!$J$2,E107&lt;&gt;"Tarjeta de Crédito",0)</f>
        <v>199.465</v>
      </c>
      <c r="N107" s="15">
        <f t="shared" si="3"/>
        <v>4798.535</v>
      </c>
      <c r="O107" s="13" t="str">
        <f t="shared" si="4"/>
        <v>Ticket alto valor</v>
      </c>
    </row>
    <row r="108" ht="15.75" customHeight="1">
      <c r="A108" s="9" t="s">
        <v>189</v>
      </c>
      <c r="B108" s="9" t="s">
        <v>186</v>
      </c>
      <c r="C108" s="9" t="s">
        <v>40</v>
      </c>
      <c r="D108" s="9" t="s">
        <v>57</v>
      </c>
      <c r="E108" s="9" t="s">
        <v>77</v>
      </c>
      <c r="F108" s="9">
        <v>1.0</v>
      </c>
      <c r="G108" s="13" t="str">
        <f t="array" ref="G108:J108">XLOOKUP(C108,DimProductos[ID_Producto],DimProductos[[Producto]:[Precio_Lista]])</f>
        <v>Teclado Mecánico RGB</v>
      </c>
      <c r="H108" s="13" t="s">
        <v>43</v>
      </c>
      <c r="I108" s="14">
        <v>650.0</v>
      </c>
      <c r="J108" s="14">
        <v>1350.0</v>
      </c>
      <c r="K108" s="13">
        <f t="shared" si="1"/>
        <v>1350</v>
      </c>
      <c r="L108" s="13">
        <f t="shared" si="2"/>
        <v>650</v>
      </c>
      <c r="M108" s="15">
        <f>IFS(E108="Tarjeta de Crédito",J108*Instrucciones!$J$2,E108&lt;&gt;"Tarjeta de Crédito",0)</f>
        <v>47.25</v>
      </c>
      <c r="N108" s="15">
        <f t="shared" si="3"/>
        <v>652.75</v>
      </c>
      <c r="O108" s="13" t="str">
        <f t="shared" si="4"/>
        <v>Ticket Estandar</v>
      </c>
    </row>
    <row r="109" ht="15.75" customHeight="1">
      <c r="A109" s="9" t="s">
        <v>190</v>
      </c>
      <c r="B109" s="9" t="s">
        <v>186</v>
      </c>
      <c r="C109" s="9" t="s">
        <v>40</v>
      </c>
      <c r="D109" s="9" t="s">
        <v>79</v>
      </c>
      <c r="E109" s="9" t="s">
        <v>58</v>
      </c>
      <c r="F109" s="9">
        <v>1.0</v>
      </c>
      <c r="G109" s="13" t="str">
        <f t="array" ref="G109:J109">XLOOKUP(C109,DimProductos[ID_Producto],DimProductos[[Producto]:[Precio_Lista]])</f>
        <v>Teclado Mecánico RGB</v>
      </c>
      <c r="H109" s="13" t="s">
        <v>43</v>
      </c>
      <c r="I109" s="14">
        <v>650.0</v>
      </c>
      <c r="J109" s="14">
        <v>1350.0</v>
      </c>
      <c r="K109" s="13">
        <f t="shared" si="1"/>
        <v>1350</v>
      </c>
      <c r="L109" s="13">
        <f t="shared" si="2"/>
        <v>650</v>
      </c>
      <c r="M109" s="15">
        <f>IFS(E109="Tarjeta de Crédito",J109*Instrucciones!$J$2,E109&lt;&gt;"Tarjeta de Crédito",0)</f>
        <v>0</v>
      </c>
      <c r="N109" s="15">
        <f t="shared" si="3"/>
        <v>700</v>
      </c>
      <c r="O109" s="13" t="str">
        <f t="shared" si="4"/>
        <v>Ticket Estandar</v>
      </c>
    </row>
    <row r="110" ht="15.75" customHeight="1">
      <c r="A110" s="9" t="s">
        <v>191</v>
      </c>
      <c r="B110" s="9" t="s">
        <v>186</v>
      </c>
      <c r="C110" s="9" t="s">
        <v>55</v>
      </c>
      <c r="D110" s="9" t="s">
        <v>72</v>
      </c>
      <c r="E110" s="9" t="s">
        <v>58</v>
      </c>
      <c r="F110" s="9">
        <v>1.0</v>
      </c>
      <c r="G110" s="13" t="str">
        <f t="array" ref="G110:J110">XLOOKUP(C110,DimProductos[ID_Producto],DimProductos[[Producto]:[Precio_Lista]])</f>
        <v>Micrófono USB Studio</v>
      </c>
      <c r="H110" s="13" t="s">
        <v>63</v>
      </c>
      <c r="I110" s="14">
        <v>950.0</v>
      </c>
      <c r="J110" s="14">
        <v>1899.0</v>
      </c>
      <c r="K110" s="13">
        <f t="shared" si="1"/>
        <v>1899</v>
      </c>
      <c r="L110" s="13">
        <f t="shared" si="2"/>
        <v>950</v>
      </c>
      <c r="M110" s="15">
        <f>IFS(E110="Tarjeta de Crédito",J110*Instrucciones!$J$2,E110&lt;&gt;"Tarjeta de Crédito",0)</f>
        <v>0</v>
      </c>
      <c r="N110" s="15">
        <f t="shared" si="3"/>
        <v>949</v>
      </c>
      <c r="O110" s="13" t="str">
        <f t="shared" si="4"/>
        <v>Ticket Estandar</v>
      </c>
    </row>
    <row r="111" ht="15.75" customHeight="1">
      <c r="A111" s="9" t="s">
        <v>192</v>
      </c>
      <c r="B111" s="9" t="s">
        <v>186</v>
      </c>
      <c r="C111" s="9" t="s">
        <v>65</v>
      </c>
      <c r="D111" s="9" t="s">
        <v>57</v>
      </c>
      <c r="E111" s="9" t="s">
        <v>77</v>
      </c>
      <c r="F111" s="9">
        <v>1.0</v>
      </c>
      <c r="G111" s="13" t="str">
        <f t="array" ref="G111:J111">XLOOKUP(C111,DimProductos[ID_Producto],DimProductos[[Producto]:[Precio_Lista]])</f>
        <v>Silla Ergonómica Pro</v>
      </c>
      <c r="H111" s="13" t="s">
        <v>67</v>
      </c>
      <c r="I111" s="14">
        <v>3200.0</v>
      </c>
      <c r="J111" s="14">
        <v>5699.0</v>
      </c>
      <c r="K111" s="13">
        <f t="shared" si="1"/>
        <v>5699</v>
      </c>
      <c r="L111" s="13">
        <f t="shared" si="2"/>
        <v>3200</v>
      </c>
      <c r="M111" s="15">
        <f>IFS(E111="Tarjeta de Crédito",J111*Instrucciones!$J$2,E111&lt;&gt;"Tarjeta de Crédito",0)</f>
        <v>199.465</v>
      </c>
      <c r="N111" s="15">
        <f t="shared" si="3"/>
        <v>2299.535</v>
      </c>
      <c r="O111" s="13" t="str">
        <f t="shared" si="4"/>
        <v>Ticket alto valor</v>
      </c>
    </row>
    <row r="112" ht="15.75" customHeight="1">
      <c r="A112" s="9" t="s">
        <v>193</v>
      </c>
      <c r="B112" s="9" t="s">
        <v>186</v>
      </c>
      <c r="C112" s="9" t="s">
        <v>33</v>
      </c>
      <c r="D112" s="9" t="s">
        <v>57</v>
      </c>
      <c r="E112" s="9" t="s">
        <v>58</v>
      </c>
      <c r="F112" s="9">
        <v>1.0</v>
      </c>
      <c r="G112" s="13" t="str">
        <f t="array" ref="G112:J112">XLOOKUP(C112,DimProductos[ID_Producto],DimProductos[[Producto]:[Precio_Lista]])</f>
        <v>Monitor Curvo 27"</v>
      </c>
      <c r="H112" s="13" t="s">
        <v>36</v>
      </c>
      <c r="I112" s="14">
        <v>2800.0</v>
      </c>
      <c r="J112" s="14">
        <v>4999.0</v>
      </c>
      <c r="K112" s="13">
        <f t="shared" si="1"/>
        <v>4999</v>
      </c>
      <c r="L112" s="13">
        <f t="shared" si="2"/>
        <v>2800</v>
      </c>
      <c r="M112" s="15">
        <f>IFS(E112="Tarjeta de Crédito",J112*Instrucciones!$J$2,E112&lt;&gt;"Tarjeta de Crédito",0)</f>
        <v>0</v>
      </c>
      <c r="N112" s="15">
        <f t="shared" si="3"/>
        <v>2199</v>
      </c>
      <c r="O112" s="13" t="str">
        <f t="shared" si="4"/>
        <v>Ticket alto valor</v>
      </c>
    </row>
    <row r="113" ht="15.75" customHeight="1">
      <c r="A113" s="9" t="s">
        <v>194</v>
      </c>
      <c r="B113" s="9" t="s">
        <v>186</v>
      </c>
      <c r="C113" s="9" t="s">
        <v>52</v>
      </c>
      <c r="D113" s="9" t="s">
        <v>79</v>
      </c>
      <c r="E113" s="9" t="s">
        <v>58</v>
      </c>
      <c r="F113" s="9">
        <v>4.0</v>
      </c>
      <c r="G113" s="13" t="str">
        <f t="array" ref="G113:J113">XLOOKUP(C113,DimProductos[ID_Producto],DimProductos[[Producto]:[Precio_Lista]])</f>
        <v>Laptop Gamer 16GB</v>
      </c>
      <c r="H113" s="13" t="s">
        <v>56</v>
      </c>
      <c r="I113" s="14">
        <v>14500.0</v>
      </c>
      <c r="J113" s="14">
        <v>22499.0</v>
      </c>
      <c r="K113" s="13">
        <f t="shared" si="1"/>
        <v>89996</v>
      </c>
      <c r="L113" s="13">
        <f t="shared" si="2"/>
        <v>58000</v>
      </c>
      <c r="M113" s="15">
        <f>IFS(E113="Tarjeta de Crédito",J113*Instrucciones!$J$2,E113&lt;&gt;"Tarjeta de Crédito",0)</f>
        <v>0</v>
      </c>
      <c r="N113" s="15">
        <f t="shared" si="3"/>
        <v>31996</v>
      </c>
      <c r="O113" s="13" t="str">
        <f t="shared" si="4"/>
        <v>Ticket alto valor</v>
      </c>
    </row>
    <row r="114" ht="15.75" customHeight="1">
      <c r="A114" s="9" t="s">
        <v>195</v>
      </c>
      <c r="B114" s="9" t="s">
        <v>186</v>
      </c>
      <c r="C114" s="9" t="s">
        <v>59</v>
      </c>
      <c r="D114" s="9" t="s">
        <v>79</v>
      </c>
      <c r="E114" s="9" t="s">
        <v>70</v>
      </c>
      <c r="F114" s="9">
        <v>1.0</v>
      </c>
      <c r="G114" s="13" t="str">
        <f t="array" ref="G114:J114">XLOOKUP(C114,DimProductos[ID_Producto],DimProductos[[Producto]:[Precio_Lista]])</f>
        <v>Laptop Ultrabook 14"</v>
      </c>
      <c r="H114" s="13" t="s">
        <v>56</v>
      </c>
      <c r="I114" s="14">
        <v>11200.0</v>
      </c>
      <c r="J114" s="14">
        <v>17999.0</v>
      </c>
      <c r="K114" s="13">
        <f t="shared" si="1"/>
        <v>17999</v>
      </c>
      <c r="L114" s="13">
        <f t="shared" si="2"/>
        <v>11200</v>
      </c>
      <c r="M114" s="15">
        <f>IFS(E114="Tarjeta de Crédito",J114*Instrucciones!$J$2,E114&lt;&gt;"Tarjeta de Crédito",0)</f>
        <v>0</v>
      </c>
      <c r="N114" s="15">
        <f t="shared" si="3"/>
        <v>6799</v>
      </c>
      <c r="O114" s="13" t="str">
        <f t="shared" si="4"/>
        <v>Ticket alto valor</v>
      </c>
    </row>
    <row r="115" ht="15.75" customHeight="1">
      <c r="A115" s="9" t="s">
        <v>196</v>
      </c>
      <c r="B115" s="9" t="s">
        <v>186</v>
      </c>
      <c r="C115" s="9" t="s">
        <v>65</v>
      </c>
      <c r="D115" s="9" t="s">
        <v>79</v>
      </c>
      <c r="E115" s="9" t="s">
        <v>58</v>
      </c>
      <c r="F115" s="9">
        <v>3.0</v>
      </c>
      <c r="G115" s="13" t="str">
        <f t="array" ref="G115:J115">XLOOKUP(C115,DimProductos[ID_Producto],DimProductos[[Producto]:[Precio_Lista]])</f>
        <v>Silla Ergonómica Pro</v>
      </c>
      <c r="H115" s="13" t="s">
        <v>67</v>
      </c>
      <c r="I115" s="14">
        <v>3200.0</v>
      </c>
      <c r="J115" s="14">
        <v>5699.0</v>
      </c>
      <c r="K115" s="13">
        <f t="shared" si="1"/>
        <v>17097</v>
      </c>
      <c r="L115" s="13">
        <f t="shared" si="2"/>
        <v>9600</v>
      </c>
      <c r="M115" s="15">
        <f>IFS(E115="Tarjeta de Crédito",J115*Instrucciones!$J$2,E115&lt;&gt;"Tarjeta de Crédito",0)</f>
        <v>0</v>
      </c>
      <c r="N115" s="15">
        <f t="shared" si="3"/>
        <v>7497</v>
      </c>
      <c r="O115" s="13" t="str">
        <f t="shared" si="4"/>
        <v>Ticket alto valor</v>
      </c>
    </row>
    <row r="116" ht="15.75" customHeight="1">
      <c r="A116" s="9" t="s">
        <v>197</v>
      </c>
      <c r="B116" s="9" t="s">
        <v>186</v>
      </c>
      <c r="C116" s="9" t="s">
        <v>46</v>
      </c>
      <c r="D116" s="9" t="s">
        <v>72</v>
      </c>
      <c r="E116" s="9" t="s">
        <v>73</v>
      </c>
      <c r="F116" s="9">
        <v>2.0</v>
      </c>
      <c r="G116" s="13" t="str">
        <f t="array" ref="G116:J116">XLOOKUP(C116,DimProductos[ID_Producto],DimProductos[[Producto]:[Precio_Lista]])</f>
        <v>Mouse Inalámbrico Pro</v>
      </c>
      <c r="H116" s="13" t="s">
        <v>43</v>
      </c>
      <c r="I116" s="14">
        <v>420.0</v>
      </c>
      <c r="J116" s="14">
        <v>899.0</v>
      </c>
      <c r="K116" s="13">
        <f t="shared" si="1"/>
        <v>1798</v>
      </c>
      <c r="L116" s="13">
        <f t="shared" si="2"/>
        <v>840</v>
      </c>
      <c r="M116" s="15">
        <f>IFS(E116="Tarjeta de Crédito",J116*Instrucciones!$J$2,E116&lt;&gt;"Tarjeta de Crédito",0)</f>
        <v>0</v>
      </c>
      <c r="N116" s="15">
        <f t="shared" si="3"/>
        <v>958</v>
      </c>
      <c r="O116" s="13" t="str">
        <f t="shared" si="4"/>
        <v>Ticket Estandar</v>
      </c>
    </row>
    <row r="117" ht="15.75" customHeight="1">
      <c r="A117" s="9" t="s">
        <v>198</v>
      </c>
      <c r="B117" s="9" t="s">
        <v>186</v>
      </c>
      <c r="C117" s="9" t="s">
        <v>46</v>
      </c>
      <c r="D117" s="9" t="s">
        <v>57</v>
      </c>
      <c r="E117" s="9" t="s">
        <v>70</v>
      </c>
      <c r="F117" s="9">
        <v>2.0</v>
      </c>
      <c r="G117" s="13" t="str">
        <f t="array" ref="G117:J117">XLOOKUP(C117,DimProductos[ID_Producto],DimProductos[[Producto]:[Precio_Lista]])</f>
        <v>Mouse Inalámbrico Pro</v>
      </c>
      <c r="H117" s="13" t="s">
        <v>43</v>
      </c>
      <c r="I117" s="14">
        <v>420.0</v>
      </c>
      <c r="J117" s="14">
        <v>899.0</v>
      </c>
      <c r="K117" s="13">
        <f t="shared" si="1"/>
        <v>1798</v>
      </c>
      <c r="L117" s="13">
        <f t="shared" si="2"/>
        <v>840</v>
      </c>
      <c r="M117" s="15">
        <f>IFS(E117="Tarjeta de Crédito",J117*Instrucciones!$J$2,E117&lt;&gt;"Tarjeta de Crédito",0)</f>
        <v>0</v>
      </c>
      <c r="N117" s="15">
        <f t="shared" si="3"/>
        <v>958</v>
      </c>
      <c r="O117" s="13" t="str">
        <f t="shared" si="4"/>
        <v>Ticket Estandar</v>
      </c>
    </row>
    <row r="118" ht="15.75" customHeight="1">
      <c r="A118" s="9" t="s">
        <v>199</v>
      </c>
      <c r="B118" s="9" t="s">
        <v>186</v>
      </c>
      <c r="C118" s="9" t="s">
        <v>46</v>
      </c>
      <c r="D118" s="9" t="s">
        <v>57</v>
      </c>
      <c r="E118" s="9" t="s">
        <v>77</v>
      </c>
      <c r="F118" s="9">
        <v>2.0</v>
      </c>
      <c r="G118" s="13" t="str">
        <f t="array" ref="G118:J118">XLOOKUP(C118,DimProductos[ID_Producto],DimProductos[[Producto]:[Precio_Lista]])</f>
        <v>Mouse Inalámbrico Pro</v>
      </c>
      <c r="H118" s="13" t="s">
        <v>43</v>
      </c>
      <c r="I118" s="14">
        <v>420.0</v>
      </c>
      <c r="J118" s="14">
        <v>899.0</v>
      </c>
      <c r="K118" s="13">
        <f t="shared" si="1"/>
        <v>1798</v>
      </c>
      <c r="L118" s="13">
        <f t="shared" si="2"/>
        <v>840</v>
      </c>
      <c r="M118" s="15">
        <f>IFS(E118="Tarjeta de Crédito",J118*Instrucciones!$J$2,E118&lt;&gt;"Tarjeta de Crédito",0)</f>
        <v>31.465</v>
      </c>
      <c r="N118" s="15">
        <f t="shared" si="3"/>
        <v>926.535</v>
      </c>
      <c r="O118" s="13" t="str">
        <f t="shared" si="4"/>
        <v>Ticket Estandar</v>
      </c>
    </row>
    <row r="119" ht="15.75" customHeight="1">
      <c r="A119" s="9" t="s">
        <v>200</v>
      </c>
      <c r="B119" s="9" t="s">
        <v>201</v>
      </c>
      <c r="C119" s="9" t="s">
        <v>40</v>
      </c>
      <c r="D119" s="9" t="s">
        <v>72</v>
      </c>
      <c r="E119" s="9" t="s">
        <v>77</v>
      </c>
      <c r="F119" s="9">
        <v>1.0</v>
      </c>
      <c r="G119" s="13" t="str">
        <f t="array" ref="G119:J119">XLOOKUP(C119,DimProductos[ID_Producto],DimProductos[[Producto]:[Precio_Lista]])</f>
        <v>Teclado Mecánico RGB</v>
      </c>
      <c r="H119" s="13" t="s">
        <v>43</v>
      </c>
      <c r="I119" s="14">
        <v>650.0</v>
      </c>
      <c r="J119" s="14">
        <v>1350.0</v>
      </c>
      <c r="K119" s="13">
        <f t="shared" si="1"/>
        <v>1350</v>
      </c>
      <c r="L119" s="13">
        <f t="shared" si="2"/>
        <v>650</v>
      </c>
      <c r="M119" s="15">
        <f>IFS(E119="Tarjeta de Crédito",J119*Instrucciones!$J$2,E119&lt;&gt;"Tarjeta de Crédito",0)</f>
        <v>47.25</v>
      </c>
      <c r="N119" s="15">
        <f t="shared" si="3"/>
        <v>652.75</v>
      </c>
      <c r="O119" s="13" t="str">
        <f t="shared" si="4"/>
        <v>Ticket Estandar</v>
      </c>
    </row>
    <row r="120" ht="15.75" customHeight="1">
      <c r="A120" s="9" t="s">
        <v>202</v>
      </c>
      <c r="B120" s="9" t="s">
        <v>201</v>
      </c>
      <c r="C120" s="9" t="s">
        <v>46</v>
      </c>
      <c r="D120" s="9" t="s">
        <v>79</v>
      </c>
      <c r="E120" s="9" t="s">
        <v>73</v>
      </c>
      <c r="F120" s="9">
        <v>1.0</v>
      </c>
      <c r="G120" s="13" t="str">
        <f t="array" ref="G120:J120">XLOOKUP(C120,DimProductos[ID_Producto],DimProductos[[Producto]:[Precio_Lista]])</f>
        <v>Mouse Inalámbrico Pro</v>
      </c>
      <c r="H120" s="13" t="s">
        <v>43</v>
      </c>
      <c r="I120" s="14">
        <v>420.0</v>
      </c>
      <c r="J120" s="14">
        <v>899.0</v>
      </c>
      <c r="K120" s="13">
        <f t="shared" si="1"/>
        <v>899</v>
      </c>
      <c r="L120" s="13">
        <f t="shared" si="2"/>
        <v>420</v>
      </c>
      <c r="M120" s="15">
        <f>IFS(E120="Tarjeta de Crédito",J120*Instrucciones!$J$2,E120&lt;&gt;"Tarjeta de Crédito",0)</f>
        <v>0</v>
      </c>
      <c r="N120" s="15">
        <f t="shared" si="3"/>
        <v>479</v>
      </c>
      <c r="O120" s="13" t="str">
        <f t="shared" si="4"/>
        <v>Ticket Estandar</v>
      </c>
    </row>
    <row r="121" ht="15.75" customHeight="1">
      <c r="A121" s="9" t="s">
        <v>203</v>
      </c>
      <c r="B121" s="9" t="s">
        <v>201</v>
      </c>
      <c r="C121" s="9" t="s">
        <v>59</v>
      </c>
      <c r="D121" s="9" t="s">
        <v>79</v>
      </c>
      <c r="E121" s="9" t="s">
        <v>73</v>
      </c>
      <c r="F121" s="9">
        <v>1.0</v>
      </c>
      <c r="G121" s="13" t="str">
        <f t="array" ref="G121:J121">XLOOKUP(C121,DimProductos[ID_Producto],DimProductos[[Producto]:[Precio_Lista]])</f>
        <v>Laptop Ultrabook 14"</v>
      </c>
      <c r="H121" s="13" t="s">
        <v>56</v>
      </c>
      <c r="I121" s="14">
        <v>11200.0</v>
      </c>
      <c r="J121" s="14">
        <v>17999.0</v>
      </c>
      <c r="K121" s="13">
        <f t="shared" si="1"/>
        <v>17999</v>
      </c>
      <c r="L121" s="13">
        <f t="shared" si="2"/>
        <v>11200</v>
      </c>
      <c r="M121" s="15">
        <f>IFS(E121="Tarjeta de Crédito",J121*Instrucciones!$J$2,E121&lt;&gt;"Tarjeta de Crédito",0)</f>
        <v>0</v>
      </c>
      <c r="N121" s="15">
        <f t="shared" si="3"/>
        <v>6799</v>
      </c>
      <c r="O121" s="13" t="str">
        <f t="shared" si="4"/>
        <v>Ticket alto valor</v>
      </c>
    </row>
    <row r="122" ht="15.75" customHeight="1">
      <c r="A122" s="9" t="s">
        <v>204</v>
      </c>
      <c r="B122" s="9" t="s">
        <v>201</v>
      </c>
      <c r="C122" s="9" t="s">
        <v>59</v>
      </c>
      <c r="D122" s="9" t="s">
        <v>72</v>
      </c>
      <c r="E122" s="9" t="s">
        <v>73</v>
      </c>
      <c r="F122" s="9">
        <v>1.0</v>
      </c>
      <c r="G122" s="13" t="str">
        <f t="array" ref="G122:J122">XLOOKUP(C122,DimProductos[ID_Producto],DimProductos[[Producto]:[Precio_Lista]])</f>
        <v>Laptop Ultrabook 14"</v>
      </c>
      <c r="H122" s="13" t="s">
        <v>56</v>
      </c>
      <c r="I122" s="14">
        <v>11200.0</v>
      </c>
      <c r="J122" s="14">
        <v>17999.0</v>
      </c>
      <c r="K122" s="13">
        <f t="shared" si="1"/>
        <v>17999</v>
      </c>
      <c r="L122" s="13">
        <f t="shared" si="2"/>
        <v>11200</v>
      </c>
      <c r="M122" s="15">
        <f>IFS(E122="Tarjeta de Crédito",J122*Instrucciones!$J$2,E122&lt;&gt;"Tarjeta de Crédito",0)</f>
        <v>0</v>
      </c>
      <c r="N122" s="15">
        <f t="shared" si="3"/>
        <v>6799</v>
      </c>
      <c r="O122" s="13" t="str">
        <f t="shared" si="4"/>
        <v>Ticket alto valor</v>
      </c>
    </row>
    <row r="123" ht="15.75" customHeight="1">
      <c r="A123" s="9" t="s">
        <v>205</v>
      </c>
      <c r="B123" s="9" t="s">
        <v>201</v>
      </c>
      <c r="C123" s="9" t="s">
        <v>40</v>
      </c>
      <c r="D123" s="9" t="s">
        <v>57</v>
      </c>
      <c r="E123" s="9" t="s">
        <v>58</v>
      </c>
      <c r="F123" s="9">
        <v>4.0</v>
      </c>
      <c r="G123" s="13" t="str">
        <f t="array" ref="G123:J123">XLOOKUP(C123,DimProductos[ID_Producto],DimProductos[[Producto]:[Precio_Lista]])</f>
        <v>Teclado Mecánico RGB</v>
      </c>
      <c r="H123" s="13" t="s">
        <v>43</v>
      </c>
      <c r="I123" s="14">
        <v>650.0</v>
      </c>
      <c r="J123" s="14">
        <v>1350.0</v>
      </c>
      <c r="K123" s="13">
        <f t="shared" si="1"/>
        <v>5400</v>
      </c>
      <c r="L123" s="13">
        <f t="shared" si="2"/>
        <v>2600</v>
      </c>
      <c r="M123" s="15">
        <f>IFS(E123="Tarjeta de Crédito",J123*Instrucciones!$J$2,E123&lt;&gt;"Tarjeta de Crédito",0)</f>
        <v>0</v>
      </c>
      <c r="N123" s="15">
        <f t="shared" si="3"/>
        <v>2800</v>
      </c>
      <c r="O123" s="13" t="str">
        <f t="shared" si="4"/>
        <v>Ticket alto valor</v>
      </c>
    </row>
    <row r="124" ht="15.75" customHeight="1">
      <c r="A124" s="9" t="s">
        <v>206</v>
      </c>
      <c r="B124" s="9" t="s">
        <v>201</v>
      </c>
      <c r="C124" s="9" t="s">
        <v>40</v>
      </c>
      <c r="D124" s="9" t="s">
        <v>79</v>
      </c>
      <c r="E124" s="9" t="s">
        <v>70</v>
      </c>
      <c r="F124" s="9">
        <v>1.0</v>
      </c>
      <c r="G124" s="13" t="str">
        <f t="array" ref="G124:J124">XLOOKUP(C124,DimProductos[ID_Producto],DimProductos[[Producto]:[Precio_Lista]])</f>
        <v>Teclado Mecánico RGB</v>
      </c>
      <c r="H124" s="13" t="s">
        <v>43</v>
      </c>
      <c r="I124" s="14">
        <v>650.0</v>
      </c>
      <c r="J124" s="14">
        <v>1350.0</v>
      </c>
      <c r="K124" s="13">
        <f t="shared" si="1"/>
        <v>1350</v>
      </c>
      <c r="L124" s="13">
        <f t="shared" si="2"/>
        <v>650</v>
      </c>
      <c r="M124" s="15">
        <f>IFS(E124="Tarjeta de Crédito",J124*Instrucciones!$J$2,E124&lt;&gt;"Tarjeta de Crédito",0)</f>
        <v>0</v>
      </c>
      <c r="N124" s="15">
        <f t="shared" si="3"/>
        <v>700</v>
      </c>
      <c r="O124" s="13" t="str">
        <f t="shared" si="4"/>
        <v>Ticket Estandar</v>
      </c>
    </row>
    <row r="125" ht="15.75" customHeight="1">
      <c r="A125" s="9" t="s">
        <v>207</v>
      </c>
      <c r="B125" s="9" t="s">
        <v>201</v>
      </c>
      <c r="C125" s="9" t="s">
        <v>59</v>
      </c>
      <c r="D125" s="9" t="s">
        <v>72</v>
      </c>
      <c r="E125" s="9" t="s">
        <v>58</v>
      </c>
      <c r="F125" s="9">
        <v>1.0</v>
      </c>
      <c r="G125" s="13" t="str">
        <f t="array" ref="G125:J125">XLOOKUP(C125,DimProductos[ID_Producto],DimProductos[[Producto]:[Precio_Lista]])</f>
        <v>Laptop Ultrabook 14"</v>
      </c>
      <c r="H125" s="13" t="s">
        <v>56</v>
      </c>
      <c r="I125" s="14">
        <v>11200.0</v>
      </c>
      <c r="J125" s="14">
        <v>17999.0</v>
      </c>
      <c r="K125" s="13">
        <f t="shared" si="1"/>
        <v>17999</v>
      </c>
      <c r="L125" s="13">
        <f t="shared" si="2"/>
        <v>11200</v>
      </c>
      <c r="M125" s="15">
        <f>IFS(E125="Tarjeta de Crédito",J125*Instrucciones!$J$2,E125&lt;&gt;"Tarjeta de Crédito",0)</f>
        <v>0</v>
      </c>
      <c r="N125" s="15">
        <f t="shared" si="3"/>
        <v>6799</v>
      </c>
      <c r="O125" s="13" t="str">
        <f t="shared" si="4"/>
        <v>Ticket alto valor</v>
      </c>
    </row>
    <row r="126" ht="15.75" customHeight="1">
      <c r="A126" s="9" t="s">
        <v>208</v>
      </c>
      <c r="B126" s="9" t="s">
        <v>201</v>
      </c>
      <c r="C126" s="9" t="s">
        <v>55</v>
      </c>
      <c r="D126" s="9" t="s">
        <v>72</v>
      </c>
      <c r="E126" s="9" t="s">
        <v>70</v>
      </c>
      <c r="F126" s="9">
        <v>1.0</v>
      </c>
      <c r="G126" s="13" t="str">
        <f t="array" ref="G126:J126">XLOOKUP(C126,DimProductos[ID_Producto],DimProductos[[Producto]:[Precio_Lista]])</f>
        <v>Micrófono USB Studio</v>
      </c>
      <c r="H126" s="13" t="s">
        <v>63</v>
      </c>
      <c r="I126" s="14">
        <v>950.0</v>
      </c>
      <c r="J126" s="14">
        <v>1899.0</v>
      </c>
      <c r="K126" s="13">
        <f t="shared" si="1"/>
        <v>1899</v>
      </c>
      <c r="L126" s="13">
        <f t="shared" si="2"/>
        <v>950</v>
      </c>
      <c r="M126" s="15">
        <f>IFS(E126="Tarjeta de Crédito",J126*Instrucciones!$J$2,E126&lt;&gt;"Tarjeta de Crédito",0)</f>
        <v>0</v>
      </c>
      <c r="N126" s="15">
        <f t="shared" si="3"/>
        <v>949</v>
      </c>
      <c r="O126" s="13" t="str">
        <f t="shared" si="4"/>
        <v>Ticket Estandar</v>
      </c>
    </row>
    <row r="127" ht="15.75" customHeight="1">
      <c r="A127" s="9" t="s">
        <v>209</v>
      </c>
      <c r="B127" s="9" t="s">
        <v>201</v>
      </c>
      <c r="C127" s="9" t="s">
        <v>33</v>
      </c>
      <c r="D127" s="9" t="s">
        <v>79</v>
      </c>
      <c r="E127" s="9" t="s">
        <v>58</v>
      </c>
      <c r="F127" s="9">
        <v>1.0</v>
      </c>
      <c r="G127" s="13" t="str">
        <f t="array" ref="G127:J127">XLOOKUP(C127,DimProductos[ID_Producto],DimProductos[[Producto]:[Precio_Lista]])</f>
        <v>Monitor Curvo 27"</v>
      </c>
      <c r="H127" s="13" t="s">
        <v>36</v>
      </c>
      <c r="I127" s="14">
        <v>2800.0</v>
      </c>
      <c r="J127" s="14">
        <v>4999.0</v>
      </c>
      <c r="K127" s="13">
        <f t="shared" si="1"/>
        <v>4999</v>
      </c>
      <c r="L127" s="13">
        <f t="shared" si="2"/>
        <v>2800</v>
      </c>
      <c r="M127" s="15">
        <f>IFS(E127="Tarjeta de Crédito",J127*Instrucciones!$J$2,E127&lt;&gt;"Tarjeta de Crédito",0)</f>
        <v>0</v>
      </c>
      <c r="N127" s="15">
        <f t="shared" si="3"/>
        <v>2199</v>
      </c>
      <c r="O127" s="13" t="str">
        <f t="shared" si="4"/>
        <v>Ticket alto valor</v>
      </c>
    </row>
    <row r="128" ht="15.75" customHeight="1">
      <c r="A128" s="9" t="s">
        <v>210</v>
      </c>
      <c r="B128" s="9" t="s">
        <v>211</v>
      </c>
      <c r="C128" s="9" t="s">
        <v>61</v>
      </c>
      <c r="D128" s="9" t="s">
        <v>79</v>
      </c>
      <c r="E128" s="9" t="s">
        <v>73</v>
      </c>
      <c r="F128" s="9">
        <v>4.0</v>
      </c>
      <c r="G128" s="13" t="str">
        <f t="array" ref="G128:J128">XLOOKUP(C128,DimProductos[ID_Producto],DimProductos[[Producto]:[Precio_Lista]])</f>
        <v>Auriculares Noise Cancelling</v>
      </c>
      <c r="H128" s="13" t="s">
        <v>63</v>
      </c>
      <c r="I128" s="14">
        <v>1600.0</v>
      </c>
      <c r="J128" s="14">
        <v>3199.0</v>
      </c>
      <c r="K128" s="13">
        <f t="shared" si="1"/>
        <v>12796</v>
      </c>
      <c r="L128" s="13">
        <f t="shared" si="2"/>
        <v>6400</v>
      </c>
      <c r="M128" s="15">
        <f>IFS(E128="Tarjeta de Crédito",J128*Instrucciones!$J$2,E128&lt;&gt;"Tarjeta de Crédito",0)</f>
        <v>0</v>
      </c>
      <c r="N128" s="15">
        <f t="shared" si="3"/>
        <v>6396</v>
      </c>
      <c r="O128" s="13" t="str">
        <f t="shared" si="4"/>
        <v>Ticket alto valor</v>
      </c>
    </row>
    <row r="129" ht="15.75" customHeight="1">
      <c r="A129" s="9" t="s">
        <v>212</v>
      </c>
      <c r="B129" s="9" t="s">
        <v>211</v>
      </c>
      <c r="C129" s="9" t="s">
        <v>52</v>
      </c>
      <c r="D129" s="9" t="s">
        <v>69</v>
      </c>
      <c r="E129" s="9" t="s">
        <v>73</v>
      </c>
      <c r="F129" s="9">
        <v>2.0</v>
      </c>
      <c r="G129" s="13" t="str">
        <f t="array" ref="G129:J129">XLOOKUP(C129,DimProductos[ID_Producto],DimProductos[[Producto]:[Precio_Lista]])</f>
        <v>Laptop Gamer 16GB</v>
      </c>
      <c r="H129" s="13" t="s">
        <v>56</v>
      </c>
      <c r="I129" s="14">
        <v>14500.0</v>
      </c>
      <c r="J129" s="14">
        <v>22499.0</v>
      </c>
      <c r="K129" s="13">
        <f t="shared" si="1"/>
        <v>44998</v>
      </c>
      <c r="L129" s="13">
        <f t="shared" si="2"/>
        <v>29000</v>
      </c>
      <c r="M129" s="15">
        <f>IFS(E129="Tarjeta de Crédito",J129*Instrucciones!$J$2,E129&lt;&gt;"Tarjeta de Crédito",0)</f>
        <v>0</v>
      </c>
      <c r="N129" s="15">
        <f t="shared" si="3"/>
        <v>15998</v>
      </c>
      <c r="O129" s="13" t="str">
        <f t="shared" si="4"/>
        <v>Ticket alto valor</v>
      </c>
    </row>
    <row r="130" ht="15.75" customHeight="1">
      <c r="A130" s="9" t="s">
        <v>213</v>
      </c>
      <c r="B130" s="9" t="s">
        <v>211</v>
      </c>
      <c r="C130" s="9" t="s">
        <v>52</v>
      </c>
      <c r="D130" s="9" t="s">
        <v>69</v>
      </c>
      <c r="E130" s="9" t="s">
        <v>70</v>
      </c>
      <c r="F130" s="9">
        <v>1.0</v>
      </c>
      <c r="G130" s="13" t="str">
        <f t="array" ref="G130:J130">XLOOKUP(C130,DimProductos[ID_Producto],DimProductos[[Producto]:[Precio_Lista]])</f>
        <v>Laptop Gamer 16GB</v>
      </c>
      <c r="H130" s="13" t="s">
        <v>56</v>
      </c>
      <c r="I130" s="14">
        <v>14500.0</v>
      </c>
      <c r="J130" s="14">
        <v>22499.0</v>
      </c>
      <c r="K130" s="13">
        <f t="shared" si="1"/>
        <v>22499</v>
      </c>
      <c r="L130" s="13">
        <f t="shared" si="2"/>
        <v>14500</v>
      </c>
      <c r="M130" s="15">
        <f>IFS(E130="Tarjeta de Crédito",J130*Instrucciones!$J$2,E130&lt;&gt;"Tarjeta de Crédito",0)</f>
        <v>0</v>
      </c>
      <c r="N130" s="15">
        <f t="shared" si="3"/>
        <v>7999</v>
      </c>
      <c r="O130" s="13" t="str">
        <f t="shared" si="4"/>
        <v>Ticket alto valor</v>
      </c>
    </row>
    <row r="131" ht="15.75" customHeight="1">
      <c r="A131" s="9" t="s">
        <v>214</v>
      </c>
      <c r="B131" s="9" t="s">
        <v>211</v>
      </c>
      <c r="C131" s="9" t="s">
        <v>55</v>
      </c>
      <c r="D131" s="9" t="s">
        <v>72</v>
      </c>
      <c r="E131" s="9" t="s">
        <v>77</v>
      </c>
      <c r="F131" s="9">
        <v>1.0</v>
      </c>
      <c r="G131" s="13" t="str">
        <f t="array" ref="G131:J131">XLOOKUP(C131,DimProductos[ID_Producto],DimProductos[[Producto]:[Precio_Lista]])</f>
        <v>Micrófono USB Studio</v>
      </c>
      <c r="H131" s="13" t="s">
        <v>63</v>
      </c>
      <c r="I131" s="14">
        <v>950.0</v>
      </c>
      <c r="J131" s="14">
        <v>1899.0</v>
      </c>
      <c r="K131" s="13">
        <f t="shared" si="1"/>
        <v>1899</v>
      </c>
      <c r="L131" s="13">
        <f t="shared" si="2"/>
        <v>950</v>
      </c>
      <c r="M131" s="15">
        <f>IFS(E131="Tarjeta de Crédito",J131*Instrucciones!$J$2,E131&lt;&gt;"Tarjeta de Crédito",0)</f>
        <v>66.465</v>
      </c>
      <c r="N131" s="15">
        <f t="shared" si="3"/>
        <v>882.535</v>
      </c>
      <c r="O131" s="13" t="str">
        <f t="shared" si="4"/>
        <v>Ticket Estandar</v>
      </c>
    </row>
    <row r="132" ht="15.75" customHeight="1">
      <c r="A132" s="9" t="s">
        <v>215</v>
      </c>
      <c r="B132" s="9" t="s">
        <v>211</v>
      </c>
      <c r="C132" s="9" t="s">
        <v>65</v>
      </c>
      <c r="D132" s="9" t="s">
        <v>57</v>
      </c>
      <c r="E132" s="9" t="s">
        <v>70</v>
      </c>
      <c r="F132" s="9">
        <v>1.0</v>
      </c>
      <c r="G132" s="13" t="str">
        <f t="array" ref="G132:J132">XLOOKUP(C132,DimProductos[ID_Producto],DimProductos[[Producto]:[Precio_Lista]])</f>
        <v>Silla Ergonómica Pro</v>
      </c>
      <c r="H132" s="13" t="s">
        <v>67</v>
      </c>
      <c r="I132" s="14">
        <v>3200.0</v>
      </c>
      <c r="J132" s="14">
        <v>5699.0</v>
      </c>
      <c r="K132" s="13">
        <f t="shared" si="1"/>
        <v>5699</v>
      </c>
      <c r="L132" s="13">
        <f t="shared" si="2"/>
        <v>3200</v>
      </c>
      <c r="M132" s="15">
        <f>IFS(E132="Tarjeta de Crédito",J132*Instrucciones!$J$2,E132&lt;&gt;"Tarjeta de Crédito",0)</f>
        <v>0</v>
      </c>
      <c r="N132" s="15">
        <f t="shared" si="3"/>
        <v>2499</v>
      </c>
      <c r="O132" s="13" t="str">
        <f t="shared" si="4"/>
        <v>Ticket alto valor</v>
      </c>
    </row>
    <row r="133" ht="15.75" customHeight="1">
      <c r="A133" s="9" t="s">
        <v>216</v>
      </c>
      <c r="B133" s="9" t="s">
        <v>211</v>
      </c>
      <c r="C133" s="9" t="s">
        <v>65</v>
      </c>
      <c r="D133" s="9" t="s">
        <v>69</v>
      </c>
      <c r="E133" s="9" t="s">
        <v>58</v>
      </c>
      <c r="F133" s="9">
        <v>1.0</v>
      </c>
      <c r="G133" s="13" t="str">
        <f t="array" ref="G133:J133">XLOOKUP(C133,DimProductos[ID_Producto],DimProductos[[Producto]:[Precio_Lista]])</f>
        <v>Silla Ergonómica Pro</v>
      </c>
      <c r="H133" s="13" t="s">
        <v>67</v>
      </c>
      <c r="I133" s="14">
        <v>3200.0</v>
      </c>
      <c r="J133" s="14">
        <v>5699.0</v>
      </c>
      <c r="K133" s="13">
        <f t="shared" si="1"/>
        <v>5699</v>
      </c>
      <c r="L133" s="13">
        <f t="shared" si="2"/>
        <v>3200</v>
      </c>
      <c r="M133" s="15">
        <f>IFS(E133="Tarjeta de Crédito",J133*Instrucciones!$J$2,E133&lt;&gt;"Tarjeta de Crédito",0)</f>
        <v>0</v>
      </c>
      <c r="N133" s="15">
        <f t="shared" si="3"/>
        <v>2499</v>
      </c>
      <c r="O133" s="13" t="str">
        <f t="shared" si="4"/>
        <v>Ticket alto valor</v>
      </c>
    </row>
    <row r="134" ht="15.75" customHeight="1">
      <c r="A134" s="9" t="s">
        <v>217</v>
      </c>
      <c r="B134" s="9" t="s">
        <v>211</v>
      </c>
      <c r="C134" s="9" t="s">
        <v>59</v>
      </c>
      <c r="D134" s="9" t="s">
        <v>57</v>
      </c>
      <c r="E134" s="9" t="s">
        <v>58</v>
      </c>
      <c r="F134" s="9">
        <v>4.0</v>
      </c>
      <c r="G134" s="13" t="str">
        <f t="array" ref="G134:J134">XLOOKUP(C134,DimProductos[ID_Producto],DimProductos[[Producto]:[Precio_Lista]])</f>
        <v>Laptop Ultrabook 14"</v>
      </c>
      <c r="H134" s="13" t="s">
        <v>56</v>
      </c>
      <c r="I134" s="14">
        <v>11200.0</v>
      </c>
      <c r="J134" s="14">
        <v>17999.0</v>
      </c>
      <c r="K134" s="13">
        <f t="shared" si="1"/>
        <v>71996</v>
      </c>
      <c r="L134" s="13">
        <f t="shared" si="2"/>
        <v>44800</v>
      </c>
      <c r="M134" s="15">
        <f>IFS(E134="Tarjeta de Crédito",J134*Instrucciones!$J$2,E134&lt;&gt;"Tarjeta de Crédito",0)</f>
        <v>0</v>
      </c>
      <c r="N134" s="15">
        <f t="shared" si="3"/>
        <v>27196</v>
      </c>
      <c r="O134" s="13" t="str">
        <f t="shared" si="4"/>
        <v>Ticket alto valor</v>
      </c>
    </row>
    <row r="135" ht="15.75" customHeight="1">
      <c r="A135" s="9" t="s">
        <v>218</v>
      </c>
      <c r="B135" s="9" t="s">
        <v>211</v>
      </c>
      <c r="C135" s="9" t="s">
        <v>40</v>
      </c>
      <c r="D135" s="9" t="s">
        <v>72</v>
      </c>
      <c r="E135" s="9" t="s">
        <v>58</v>
      </c>
      <c r="F135" s="9">
        <v>2.0</v>
      </c>
      <c r="G135" s="13" t="str">
        <f t="array" ref="G135:J135">XLOOKUP(C135,DimProductos[ID_Producto],DimProductos[[Producto]:[Precio_Lista]])</f>
        <v>Teclado Mecánico RGB</v>
      </c>
      <c r="H135" s="13" t="s">
        <v>43</v>
      </c>
      <c r="I135" s="14">
        <v>650.0</v>
      </c>
      <c r="J135" s="14">
        <v>1350.0</v>
      </c>
      <c r="K135" s="13">
        <f t="shared" si="1"/>
        <v>2700</v>
      </c>
      <c r="L135" s="13">
        <f t="shared" si="2"/>
        <v>1300</v>
      </c>
      <c r="M135" s="15">
        <f>IFS(E135="Tarjeta de Crédito",J135*Instrucciones!$J$2,E135&lt;&gt;"Tarjeta de Crédito",0)</f>
        <v>0</v>
      </c>
      <c r="N135" s="15">
        <f t="shared" si="3"/>
        <v>1400</v>
      </c>
      <c r="O135" s="13" t="str">
        <f t="shared" si="4"/>
        <v>Ticket Estandar</v>
      </c>
    </row>
    <row r="136" ht="15.75" customHeight="1">
      <c r="A136" s="9" t="s">
        <v>219</v>
      </c>
      <c r="B136" s="9" t="s">
        <v>220</v>
      </c>
      <c r="C136" s="9" t="s">
        <v>52</v>
      </c>
      <c r="D136" s="9" t="s">
        <v>57</v>
      </c>
      <c r="E136" s="9" t="s">
        <v>58</v>
      </c>
      <c r="F136" s="9">
        <v>1.0</v>
      </c>
      <c r="G136" s="13" t="str">
        <f t="array" ref="G136:J136">XLOOKUP(C136,DimProductos[ID_Producto],DimProductos[[Producto]:[Precio_Lista]])</f>
        <v>Laptop Gamer 16GB</v>
      </c>
      <c r="H136" s="13" t="s">
        <v>56</v>
      </c>
      <c r="I136" s="14">
        <v>14500.0</v>
      </c>
      <c r="J136" s="14">
        <v>22499.0</v>
      </c>
      <c r="K136" s="13">
        <f t="shared" si="1"/>
        <v>22499</v>
      </c>
      <c r="L136" s="13">
        <f t="shared" si="2"/>
        <v>14500</v>
      </c>
      <c r="M136" s="15">
        <f>IFS(E136="Tarjeta de Crédito",J136*Instrucciones!$J$2,E136&lt;&gt;"Tarjeta de Crédito",0)</f>
        <v>0</v>
      </c>
      <c r="N136" s="15">
        <f t="shared" si="3"/>
        <v>7999</v>
      </c>
      <c r="O136" s="13" t="str">
        <f t="shared" si="4"/>
        <v>Ticket alto valor</v>
      </c>
    </row>
    <row r="137" ht="15.75" customHeight="1">
      <c r="A137" s="9" t="s">
        <v>221</v>
      </c>
      <c r="B137" s="9" t="s">
        <v>220</v>
      </c>
      <c r="C137" s="9" t="s">
        <v>46</v>
      </c>
      <c r="D137" s="9" t="s">
        <v>72</v>
      </c>
      <c r="E137" s="9" t="s">
        <v>73</v>
      </c>
      <c r="F137" s="9">
        <v>2.0</v>
      </c>
      <c r="G137" s="13" t="str">
        <f t="array" ref="G137:J137">XLOOKUP(C137,DimProductos[ID_Producto],DimProductos[[Producto]:[Precio_Lista]])</f>
        <v>Mouse Inalámbrico Pro</v>
      </c>
      <c r="H137" s="13" t="s">
        <v>43</v>
      </c>
      <c r="I137" s="14">
        <v>420.0</v>
      </c>
      <c r="J137" s="14">
        <v>899.0</v>
      </c>
      <c r="K137" s="13">
        <f t="shared" si="1"/>
        <v>1798</v>
      </c>
      <c r="L137" s="13">
        <f t="shared" si="2"/>
        <v>840</v>
      </c>
      <c r="M137" s="15">
        <f>IFS(E137="Tarjeta de Crédito",J137*Instrucciones!$J$2,E137&lt;&gt;"Tarjeta de Crédito",0)</f>
        <v>0</v>
      </c>
      <c r="N137" s="15">
        <f t="shared" si="3"/>
        <v>958</v>
      </c>
      <c r="O137" s="13" t="str">
        <f t="shared" si="4"/>
        <v>Ticket Estandar</v>
      </c>
    </row>
    <row r="138" ht="15.75" customHeight="1">
      <c r="A138" s="9" t="s">
        <v>222</v>
      </c>
      <c r="B138" s="9" t="s">
        <v>220</v>
      </c>
      <c r="C138" s="9" t="s">
        <v>65</v>
      </c>
      <c r="D138" s="9" t="s">
        <v>79</v>
      </c>
      <c r="E138" s="9" t="s">
        <v>77</v>
      </c>
      <c r="F138" s="9">
        <v>2.0</v>
      </c>
      <c r="G138" s="13" t="str">
        <f t="array" ref="G138:J138">XLOOKUP(C138,DimProductos[ID_Producto],DimProductos[[Producto]:[Precio_Lista]])</f>
        <v>Silla Ergonómica Pro</v>
      </c>
      <c r="H138" s="13" t="s">
        <v>67</v>
      </c>
      <c r="I138" s="14">
        <v>3200.0</v>
      </c>
      <c r="J138" s="14">
        <v>5699.0</v>
      </c>
      <c r="K138" s="13">
        <f t="shared" si="1"/>
        <v>11398</v>
      </c>
      <c r="L138" s="13">
        <f t="shared" si="2"/>
        <v>6400</v>
      </c>
      <c r="M138" s="15">
        <f>IFS(E138="Tarjeta de Crédito",J138*Instrucciones!$J$2,E138&lt;&gt;"Tarjeta de Crédito",0)</f>
        <v>199.465</v>
      </c>
      <c r="N138" s="15">
        <f t="shared" si="3"/>
        <v>4798.535</v>
      </c>
      <c r="O138" s="13" t="str">
        <f t="shared" si="4"/>
        <v>Ticket alto valor</v>
      </c>
    </row>
    <row r="139" ht="15.75" customHeight="1">
      <c r="A139" s="9" t="s">
        <v>223</v>
      </c>
      <c r="B139" s="9" t="s">
        <v>220</v>
      </c>
      <c r="C139" s="9" t="s">
        <v>33</v>
      </c>
      <c r="D139" s="9" t="s">
        <v>79</v>
      </c>
      <c r="E139" s="9" t="s">
        <v>77</v>
      </c>
      <c r="F139" s="9">
        <v>1.0</v>
      </c>
      <c r="G139" s="13" t="str">
        <f t="array" ref="G139:J139">XLOOKUP(C139,DimProductos[ID_Producto],DimProductos[[Producto]:[Precio_Lista]])</f>
        <v>Monitor Curvo 27"</v>
      </c>
      <c r="H139" s="13" t="s">
        <v>36</v>
      </c>
      <c r="I139" s="14">
        <v>2800.0</v>
      </c>
      <c r="J139" s="14">
        <v>4999.0</v>
      </c>
      <c r="K139" s="13">
        <f t="shared" si="1"/>
        <v>4999</v>
      </c>
      <c r="L139" s="13">
        <f t="shared" si="2"/>
        <v>2800</v>
      </c>
      <c r="M139" s="15">
        <f>IFS(E139="Tarjeta de Crédito",J139*Instrucciones!$J$2,E139&lt;&gt;"Tarjeta de Crédito",0)</f>
        <v>174.965</v>
      </c>
      <c r="N139" s="15">
        <f t="shared" si="3"/>
        <v>2024.035</v>
      </c>
      <c r="O139" s="13" t="str">
        <f t="shared" si="4"/>
        <v>Ticket alto valor</v>
      </c>
    </row>
    <row r="140" ht="15.75" customHeight="1">
      <c r="A140" s="9" t="s">
        <v>224</v>
      </c>
      <c r="B140" s="9" t="s">
        <v>220</v>
      </c>
      <c r="C140" s="9" t="s">
        <v>33</v>
      </c>
      <c r="D140" s="9" t="s">
        <v>79</v>
      </c>
      <c r="E140" s="9" t="s">
        <v>70</v>
      </c>
      <c r="F140" s="9">
        <v>1.0</v>
      </c>
      <c r="G140" s="13" t="str">
        <f t="array" ref="G140:J140">XLOOKUP(C140,DimProductos[ID_Producto],DimProductos[[Producto]:[Precio_Lista]])</f>
        <v>Monitor Curvo 27"</v>
      </c>
      <c r="H140" s="13" t="s">
        <v>36</v>
      </c>
      <c r="I140" s="14">
        <v>2800.0</v>
      </c>
      <c r="J140" s="14">
        <v>4999.0</v>
      </c>
      <c r="K140" s="13">
        <f t="shared" si="1"/>
        <v>4999</v>
      </c>
      <c r="L140" s="13">
        <f t="shared" si="2"/>
        <v>2800</v>
      </c>
      <c r="M140" s="15">
        <f>IFS(E140="Tarjeta de Crédito",J140*Instrucciones!$J$2,E140&lt;&gt;"Tarjeta de Crédito",0)</f>
        <v>0</v>
      </c>
      <c r="N140" s="15">
        <f t="shared" si="3"/>
        <v>2199</v>
      </c>
      <c r="O140" s="13" t="str">
        <f t="shared" si="4"/>
        <v>Ticket alto valor</v>
      </c>
    </row>
    <row r="141" ht="15.75" customHeight="1">
      <c r="A141" s="9" t="s">
        <v>225</v>
      </c>
      <c r="B141" s="9" t="s">
        <v>220</v>
      </c>
      <c r="C141" s="9" t="s">
        <v>40</v>
      </c>
      <c r="D141" s="9" t="s">
        <v>69</v>
      </c>
      <c r="E141" s="9" t="s">
        <v>70</v>
      </c>
      <c r="F141" s="9">
        <v>1.0</v>
      </c>
      <c r="G141" s="13" t="str">
        <f t="array" ref="G141:J141">XLOOKUP(C141,DimProductos[ID_Producto],DimProductos[[Producto]:[Precio_Lista]])</f>
        <v>Teclado Mecánico RGB</v>
      </c>
      <c r="H141" s="13" t="s">
        <v>43</v>
      </c>
      <c r="I141" s="14">
        <v>650.0</v>
      </c>
      <c r="J141" s="14">
        <v>1350.0</v>
      </c>
      <c r="K141" s="13">
        <f t="shared" si="1"/>
        <v>1350</v>
      </c>
      <c r="L141" s="13">
        <f t="shared" si="2"/>
        <v>650</v>
      </c>
      <c r="M141" s="15">
        <f>IFS(E141="Tarjeta de Crédito",J141*Instrucciones!$J$2,E141&lt;&gt;"Tarjeta de Crédito",0)</f>
        <v>0</v>
      </c>
      <c r="N141" s="15">
        <f t="shared" si="3"/>
        <v>700</v>
      </c>
      <c r="O141" s="13" t="str">
        <f t="shared" si="4"/>
        <v>Ticket Estandar</v>
      </c>
    </row>
    <row r="142" ht="15.75" customHeight="1">
      <c r="A142" s="9" t="s">
        <v>226</v>
      </c>
      <c r="B142" s="9" t="s">
        <v>220</v>
      </c>
      <c r="C142" s="9" t="s">
        <v>33</v>
      </c>
      <c r="D142" s="9" t="s">
        <v>79</v>
      </c>
      <c r="E142" s="9" t="s">
        <v>73</v>
      </c>
      <c r="F142" s="9">
        <v>1.0</v>
      </c>
      <c r="G142" s="13" t="str">
        <f t="array" ref="G142:J142">XLOOKUP(C142,DimProductos[ID_Producto],DimProductos[[Producto]:[Precio_Lista]])</f>
        <v>Monitor Curvo 27"</v>
      </c>
      <c r="H142" s="13" t="s">
        <v>36</v>
      </c>
      <c r="I142" s="14">
        <v>2800.0</v>
      </c>
      <c r="J142" s="14">
        <v>4999.0</v>
      </c>
      <c r="K142" s="13">
        <f t="shared" si="1"/>
        <v>4999</v>
      </c>
      <c r="L142" s="13">
        <f t="shared" si="2"/>
        <v>2800</v>
      </c>
      <c r="M142" s="15">
        <f>IFS(E142="Tarjeta de Crédito",J142*Instrucciones!$J$2,E142&lt;&gt;"Tarjeta de Crédito",0)</f>
        <v>0</v>
      </c>
      <c r="N142" s="15">
        <f t="shared" si="3"/>
        <v>2199</v>
      </c>
      <c r="O142" s="13" t="str">
        <f t="shared" si="4"/>
        <v>Ticket alto valor</v>
      </c>
    </row>
    <row r="143" ht="15.75" customHeight="1">
      <c r="A143" s="9" t="s">
        <v>227</v>
      </c>
      <c r="B143" s="9" t="s">
        <v>220</v>
      </c>
      <c r="C143" s="9" t="s">
        <v>46</v>
      </c>
      <c r="D143" s="9" t="s">
        <v>69</v>
      </c>
      <c r="E143" s="9" t="s">
        <v>58</v>
      </c>
      <c r="F143" s="9">
        <v>2.0</v>
      </c>
      <c r="G143" s="13" t="str">
        <f t="array" ref="G143:J143">XLOOKUP(C143,DimProductos[ID_Producto],DimProductos[[Producto]:[Precio_Lista]])</f>
        <v>Mouse Inalámbrico Pro</v>
      </c>
      <c r="H143" s="13" t="s">
        <v>43</v>
      </c>
      <c r="I143" s="14">
        <v>420.0</v>
      </c>
      <c r="J143" s="14">
        <v>899.0</v>
      </c>
      <c r="K143" s="13">
        <f t="shared" si="1"/>
        <v>1798</v>
      </c>
      <c r="L143" s="13">
        <f t="shared" si="2"/>
        <v>840</v>
      </c>
      <c r="M143" s="15">
        <f>IFS(E143="Tarjeta de Crédito",J143*Instrucciones!$J$2,E143&lt;&gt;"Tarjeta de Crédito",0)</f>
        <v>0</v>
      </c>
      <c r="N143" s="15">
        <f t="shared" si="3"/>
        <v>958</v>
      </c>
      <c r="O143" s="13" t="str">
        <f t="shared" si="4"/>
        <v>Ticket Estandar</v>
      </c>
    </row>
    <row r="144" ht="15.75" customHeight="1">
      <c r="A144" s="9" t="s">
        <v>228</v>
      </c>
      <c r="B144" s="9" t="s">
        <v>220</v>
      </c>
      <c r="C144" s="9" t="s">
        <v>61</v>
      </c>
      <c r="D144" s="9" t="s">
        <v>57</v>
      </c>
      <c r="E144" s="9" t="s">
        <v>58</v>
      </c>
      <c r="F144" s="9">
        <v>1.0</v>
      </c>
      <c r="G144" s="13" t="str">
        <f t="array" ref="G144:J144">XLOOKUP(C144,DimProductos[ID_Producto],DimProductos[[Producto]:[Precio_Lista]])</f>
        <v>Auriculares Noise Cancelling</v>
      </c>
      <c r="H144" s="13" t="s">
        <v>63</v>
      </c>
      <c r="I144" s="14">
        <v>1600.0</v>
      </c>
      <c r="J144" s="14">
        <v>3199.0</v>
      </c>
      <c r="K144" s="13">
        <f t="shared" si="1"/>
        <v>3199</v>
      </c>
      <c r="L144" s="13">
        <f t="shared" si="2"/>
        <v>1600</v>
      </c>
      <c r="M144" s="15">
        <f>IFS(E144="Tarjeta de Crédito",J144*Instrucciones!$J$2,E144&lt;&gt;"Tarjeta de Crédito",0)</f>
        <v>0</v>
      </c>
      <c r="N144" s="15">
        <f t="shared" si="3"/>
        <v>1599</v>
      </c>
      <c r="O144" s="13" t="str">
        <f t="shared" si="4"/>
        <v>Ticket alto valor</v>
      </c>
    </row>
    <row r="145" ht="15.75" customHeight="1">
      <c r="A145" s="9" t="s">
        <v>229</v>
      </c>
      <c r="B145" s="9" t="s">
        <v>220</v>
      </c>
      <c r="C145" s="9" t="s">
        <v>40</v>
      </c>
      <c r="D145" s="9" t="s">
        <v>69</v>
      </c>
      <c r="E145" s="9" t="s">
        <v>70</v>
      </c>
      <c r="F145" s="9">
        <v>2.0</v>
      </c>
      <c r="G145" s="13" t="str">
        <f t="array" ref="G145:J145">XLOOKUP(C145,DimProductos[ID_Producto],DimProductos[[Producto]:[Precio_Lista]])</f>
        <v>Teclado Mecánico RGB</v>
      </c>
      <c r="H145" s="13" t="s">
        <v>43</v>
      </c>
      <c r="I145" s="14">
        <v>650.0</v>
      </c>
      <c r="J145" s="14">
        <v>1350.0</v>
      </c>
      <c r="K145" s="13">
        <f t="shared" si="1"/>
        <v>2700</v>
      </c>
      <c r="L145" s="13">
        <f t="shared" si="2"/>
        <v>1300</v>
      </c>
      <c r="M145" s="15">
        <f>IFS(E145="Tarjeta de Crédito",J145*Instrucciones!$J$2,E145&lt;&gt;"Tarjeta de Crédito",0)</f>
        <v>0</v>
      </c>
      <c r="N145" s="15">
        <f t="shared" si="3"/>
        <v>1400</v>
      </c>
      <c r="O145" s="13" t="str">
        <f t="shared" si="4"/>
        <v>Ticket Estandar</v>
      </c>
    </row>
    <row r="146" ht="15.75" customHeight="1">
      <c r="A146" s="9" t="s">
        <v>230</v>
      </c>
      <c r="B146" s="9" t="s">
        <v>220</v>
      </c>
      <c r="C146" s="9" t="s">
        <v>61</v>
      </c>
      <c r="D146" s="9" t="s">
        <v>57</v>
      </c>
      <c r="E146" s="9" t="s">
        <v>73</v>
      </c>
      <c r="F146" s="9">
        <v>1.0</v>
      </c>
      <c r="G146" s="13" t="str">
        <f t="array" ref="G146:J146">XLOOKUP(C146,DimProductos[ID_Producto],DimProductos[[Producto]:[Precio_Lista]])</f>
        <v>Auriculares Noise Cancelling</v>
      </c>
      <c r="H146" s="13" t="s">
        <v>63</v>
      </c>
      <c r="I146" s="14">
        <v>1600.0</v>
      </c>
      <c r="J146" s="14">
        <v>3199.0</v>
      </c>
      <c r="K146" s="13">
        <f t="shared" si="1"/>
        <v>3199</v>
      </c>
      <c r="L146" s="13">
        <f t="shared" si="2"/>
        <v>1600</v>
      </c>
      <c r="M146" s="15">
        <f>IFS(E146="Tarjeta de Crédito",J146*Instrucciones!$J$2,E146&lt;&gt;"Tarjeta de Crédito",0)</f>
        <v>0</v>
      </c>
      <c r="N146" s="15">
        <f t="shared" si="3"/>
        <v>1599</v>
      </c>
      <c r="O146" s="13" t="str">
        <f t="shared" si="4"/>
        <v>Ticket alto valor</v>
      </c>
    </row>
    <row r="147" ht="15.75" customHeight="1">
      <c r="A147" s="9" t="s">
        <v>231</v>
      </c>
      <c r="B147" s="9" t="s">
        <v>232</v>
      </c>
      <c r="C147" s="9" t="s">
        <v>33</v>
      </c>
      <c r="D147" s="9" t="s">
        <v>57</v>
      </c>
      <c r="E147" s="9" t="s">
        <v>70</v>
      </c>
      <c r="F147" s="9">
        <v>4.0</v>
      </c>
      <c r="G147" s="13" t="str">
        <f t="array" ref="G147:J147">XLOOKUP(C147,DimProductos[ID_Producto],DimProductos[[Producto]:[Precio_Lista]])</f>
        <v>Monitor Curvo 27"</v>
      </c>
      <c r="H147" s="13" t="s">
        <v>36</v>
      </c>
      <c r="I147" s="14">
        <v>2800.0</v>
      </c>
      <c r="J147" s="14">
        <v>4999.0</v>
      </c>
      <c r="K147" s="13">
        <f t="shared" si="1"/>
        <v>19996</v>
      </c>
      <c r="L147" s="13">
        <f t="shared" si="2"/>
        <v>11200</v>
      </c>
      <c r="M147" s="15">
        <f>IFS(E147="Tarjeta de Crédito",J147*Instrucciones!$J$2,E147&lt;&gt;"Tarjeta de Crédito",0)</f>
        <v>0</v>
      </c>
      <c r="N147" s="15">
        <f t="shared" si="3"/>
        <v>8796</v>
      </c>
      <c r="O147" s="13" t="str">
        <f t="shared" si="4"/>
        <v>Ticket alto valor</v>
      </c>
    </row>
    <row r="148" ht="15.75" customHeight="1">
      <c r="A148" s="9" t="s">
        <v>233</v>
      </c>
      <c r="B148" s="9" t="s">
        <v>232</v>
      </c>
      <c r="C148" s="9" t="s">
        <v>40</v>
      </c>
      <c r="D148" s="9" t="s">
        <v>57</v>
      </c>
      <c r="E148" s="9" t="s">
        <v>73</v>
      </c>
      <c r="F148" s="9">
        <v>1.0</v>
      </c>
      <c r="G148" s="13" t="str">
        <f t="array" ref="G148:J148">XLOOKUP(C148,DimProductos[ID_Producto],DimProductos[[Producto]:[Precio_Lista]])</f>
        <v>Teclado Mecánico RGB</v>
      </c>
      <c r="H148" s="13" t="s">
        <v>43</v>
      </c>
      <c r="I148" s="14">
        <v>650.0</v>
      </c>
      <c r="J148" s="14">
        <v>1350.0</v>
      </c>
      <c r="K148" s="13">
        <f t="shared" si="1"/>
        <v>1350</v>
      </c>
      <c r="L148" s="13">
        <f t="shared" si="2"/>
        <v>650</v>
      </c>
      <c r="M148" s="15">
        <f>IFS(E148="Tarjeta de Crédito",J148*Instrucciones!$J$2,E148&lt;&gt;"Tarjeta de Crédito",0)</f>
        <v>0</v>
      </c>
      <c r="N148" s="15">
        <f t="shared" si="3"/>
        <v>700</v>
      </c>
      <c r="O148" s="13" t="str">
        <f t="shared" si="4"/>
        <v>Ticket Estandar</v>
      </c>
    </row>
    <row r="149" ht="15.75" customHeight="1">
      <c r="A149" s="9" t="s">
        <v>234</v>
      </c>
      <c r="B149" s="9" t="s">
        <v>232</v>
      </c>
      <c r="C149" s="9" t="s">
        <v>52</v>
      </c>
      <c r="D149" s="9" t="s">
        <v>72</v>
      </c>
      <c r="E149" s="9" t="s">
        <v>58</v>
      </c>
      <c r="F149" s="9">
        <v>1.0</v>
      </c>
      <c r="G149" s="13" t="str">
        <f t="array" ref="G149:J149">XLOOKUP(C149,DimProductos[ID_Producto],DimProductos[[Producto]:[Precio_Lista]])</f>
        <v>Laptop Gamer 16GB</v>
      </c>
      <c r="H149" s="13" t="s">
        <v>56</v>
      </c>
      <c r="I149" s="14">
        <v>14500.0</v>
      </c>
      <c r="J149" s="14">
        <v>22499.0</v>
      </c>
      <c r="K149" s="13">
        <f t="shared" si="1"/>
        <v>22499</v>
      </c>
      <c r="L149" s="13">
        <f t="shared" si="2"/>
        <v>14500</v>
      </c>
      <c r="M149" s="15">
        <f>IFS(E149="Tarjeta de Crédito",J149*Instrucciones!$J$2,E149&lt;&gt;"Tarjeta de Crédito",0)</f>
        <v>0</v>
      </c>
      <c r="N149" s="15">
        <f t="shared" si="3"/>
        <v>7999</v>
      </c>
      <c r="O149" s="13" t="str">
        <f t="shared" si="4"/>
        <v>Ticket alto valor</v>
      </c>
    </row>
    <row r="150" ht="15.75" customHeight="1">
      <c r="A150" s="9" t="s">
        <v>235</v>
      </c>
      <c r="B150" s="9" t="s">
        <v>232</v>
      </c>
      <c r="C150" s="9" t="s">
        <v>61</v>
      </c>
      <c r="D150" s="9" t="s">
        <v>72</v>
      </c>
      <c r="E150" s="9" t="s">
        <v>70</v>
      </c>
      <c r="F150" s="9">
        <v>1.0</v>
      </c>
      <c r="G150" s="13" t="str">
        <f t="array" ref="G150:J150">XLOOKUP(C150,DimProductos[ID_Producto],DimProductos[[Producto]:[Precio_Lista]])</f>
        <v>Auriculares Noise Cancelling</v>
      </c>
      <c r="H150" s="13" t="s">
        <v>63</v>
      </c>
      <c r="I150" s="14">
        <v>1600.0</v>
      </c>
      <c r="J150" s="14">
        <v>3199.0</v>
      </c>
      <c r="K150" s="13">
        <f t="shared" si="1"/>
        <v>3199</v>
      </c>
      <c r="L150" s="13">
        <f t="shared" si="2"/>
        <v>1600</v>
      </c>
      <c r="M150" s="15">
        <f>IFS(E150="Tarjeta de Crédito",J150*Instrucciones!$J$2,E150&lt;&gt;"Tarjeta de Crédito",0)</f>
        <v>0</v>
      </c>
      <c r="N150" s="15">
        <f t="shared" si="3"/>
        <v>1599</v>
      </c>
      <c r="O150" s="13" t="str">
        <f t="shared" si="4"/>
        <v>Ticket alto valor</v>
      </c>
    </row>
    <row r="151" ht="15.75" customHeight="1">
      <c r="A151" s="9" t="s">
        <v>236</v>
      </c>
      <c r="B151" s="9" t="s">
        <v>232</v>
      </c>
      <c r="C151" s="9" t="s">
        <v>61</v>
      </c>
      <c r="D151" s="9" t="s">
        <v>72</v>
      </c>
      <c r="E151" s="9" t="s">
        <v>77</v>
      </c>
      <c r="F151" s="9">
        <v>4.0</v>
      </c>
      <c r="G151" s="13" t="str">
        <f t="array" ref="G151:J151">XLOOKUP(C151,DimProductos[ID_Producto],DimProductos[[Producto]:[Precio_Lista]])</f>
        <v>Auriculares Noise Cancelling</v>
      </c>
      <c r="H151" s="13" t="s">
        <v>63</v>
      </c>
      <c r="I151" s="14">
        <v>1600.0</v>
      </c>
      <c r="J151" s="14">
        <v>3199.0</v>
      </c>
      <c r="K151" s="13">
        <f t="shared" si="1"/>
        <v>12796</v>
      </c>
      <c r="L151" s="13">
        <f t="shared" si="2"/>
        <v>6400</v>
      </c>
      <c r="M151" s="15">
        <f>IFS(E151="Tarjeta de Crédito",J151*Instrucciones!$J$2,E151&lt;&gt;"Tarjeta de Crédito",0)</f>
        <v>111.965</v>
      </c>
      <c r="N151" s="15">
        <f t="shared" si="3"/>
        <v>6284.035</v>
      </c>
      <c r="O151" s="13" t="str">
        <f t="shared" si="4"/>
        <v>Ticket alto valor</v>
      </c>
    </row>
    <row r="152" ht="15.75" customHeight="1">
      <c r="A152" s="9" t="s">
        <v>237</v>
      </c>
      <c r="B152" s="9" t="s">
        <v>232</v>
      </c>
      <c r="C152" s="9" t="s">
        <v>59</v>
      </c>
      <c r="D152" s="9" t="s">
        <v>69</v>
      </c>
      <c r="E152" s="9" t="s">
        <v>73</v>
      </c>
      <c r="F152" s="9">
        <v>2.0</v>
      </c>
      <c r="G152" s="13" t="str">
        <f t="array" ref="G152:J152">XLOOKUP(C152,DimProductos[ID_Producto],DimProductos[[Producto]:[Precio_Lista]])</f>
        <v>Laptop Ultrabook 14"</v>
      </c>
      <c r="H152" s="13" t="s">
        <v>56</v>
      </c>
      <c r="I152" s="14">
        <v>11200.0</v>
      </c>
      <c r="J152" s="14">
        <v>17999.0</v>
      </c>
      <c r="K152" s="13">
        <f t="shared" si="1"/>
        <v>35998</v>
      </c>
      <c r="L152" s="13">
        <f t="shared" si="2"/>
        <v>22400</v>
      </c>
      <c r="M152" s="15">
        <f>IFS(E152="Tarjeta de Crédito",J152*Instrucciones!$J$2,E152&lt;&gt;"Tarjeta de Crédito",0)</f>
        <v>0</v>
      </c>
      <c r="N152" s="15">
        <f t="shared" si="3"/>
        <v>13598</v>
      </c>
      <c r="O152" s="13" t="str">
        <f t="shared" si="4"/>
        <v>Ticket alto valor</v>
      </c>
    </row>
    <row r="153" ht="15.75" customHeight="1">
      <c r="A153" s="9" t="s">
        <v>238</v>
      </c>
      <c r="B153" s="9" t="s">
        <v>232</v>
      </c>
      <c r="C153" s="9" t="s">
        <v>61</v>
      </c>
      <c r="D153" s="9" t="s">
        <v>72</v>
      </c>
      <c r="E153" s="9" t="s">
        <v>77</v>
      </c>
      <c r="F153" s="9">
        <v>2.0</v>
      </c>
      <c r="G153" s="13" t="str">
        <f t="array" ref="G153:J153">XLOOKUP(C153,DimProductos[ID_Producto],DimProductos[[Producto]:[Precio_Lista]])</f>
        <v>Auriculares Noise Cancelling</v>
      </c>
      <c r="H153" s="13" t="s">
        <v>63</v>
      </c>
      <c r="I153" s="14">
        <v>1600.0</v>
      </c>
      <c r="J153" s="14">
        <v>3199.0</v>
      </c>
      <c r="K153" s="13">
        <f t="shared" si="1"/>
        <v>6398</v>
      </c>
      <c r="L153" s="13">
        <f t="shared" si="2"/>
        <v>3200</v>
      </c>
      <c r="M153" s="15">
        <f>IFS(E153="Tarjeta de Crédito",J153*Instrucciones!$J$2,E153&lt;&gt;"Tarjeta de Crédito",0)</f>
        <v>111.965</v>
      </c>
      <c r="N153" s="15">
        <f t="shared" si="3"/>
        <v>3086.035</v>
      </c>
      <c r="O153" s="13" t="str">
        <f t="shared" si="4"/>
        <v>Ticket alto valor</v>
      </c>
    </row>
    <row r="154" ht="15.75" customHeight="1">
      <c r="A154" s="9" t="s">
        <v>239</v>
      </c>
      <c r="B154" s="9" t="s">
        <v>232</v>
      </c>
      <c r="C154" s="9" t="s">
        <v>40</v>
      </c>
      <c r="D154" s="9" t="s">
        <v>57</v>
      </c>
      <c r="E154" s="9" t="s">
        <v>58</v>
      </c>
      <c r="F154" s="9">
        <v>1.0</v>
      </c>
      <c r="G154" s="13" t="str">
        <f t="array" ref="G154:J154">XLOOKUP(C154,DimProductos[ID_Producto],DimProductos[[Producto]:[Precio_Lista]])</f>
        <v>Teclado Mecánico RGB</v>
      </c>
      <c r="H154" s="13" t="s">
        <v>43</v>
      </c>
      <c r="I154" s="14">
        <v>650.0</v>
      </c>
      <c r="J154" s="14">
        <v>1350.0</v>
      </c>
      <c r="K154" s="13">
        <f t="shared" si="1"/>
        <v>1350</v>
      </c>
      <c r="L154" s="13">
        <f t="shared" si="2"/>
        <v>650</v>
      </c>
      <c r="M154" s="15">
        <f>IFS(E154="Tarjeta de Crédito",J154*Instrucciones!$J$2,E154&lt;&gt;"Tarjeta de Crédito",0)</f>
        <v>0</v>
      </c>
      <c r="N154" s="15">
        <f t="shared" si="3"/>
        <v>700</v>
      </c>
      <c r="O154" s="13" t="str">
        <f t="shared" si="4"/>
        <v>Ticket Estandar</v>
      </c>
    </row>
    <row r="155" ht="15.75" customHeight="1">
      <c r="A155" s="9" t="s">
        <v>240</v>
      </c>
      <c r="B155" s="9" t="s">
        <v>232</v>
      </c>
      <c r="C155" s="9" t="s">
        <v>40</v>
      </c>
      <c r="D155" s="9" t="s">
        <v>57</v>
      </c>
      <c r="E155" s="9" t="s">
        <v>77</v>
      </c>
      <c r="F155" s="9">
        <v>1.0</v>
      </c>
      <c r="G155" s="13" t="str">
        <f t="array" ref="G155:J155">XLOOKUP(C155,DimProductos[ID_Producto],DimProductos[[Producto]:[Precio_Lista]])</f>
        <v>Teclado Mecánico RGB</v>
      </c>
      <c r="H155" s="13" t="s">
        <v>43</v>
      </c>
      <c r="I155" s="14">
        <v>650.0</v>
      </c>
      <c r="J155" s="14">
        <v>1350.0</v>
      </c>
      <c r="K155" s="13">
        <f t="shared" si="1"/>
        <v>1350</v>
      </c>
      <c r="L155" s="13">
        <f t="shared" si="2"/>
        <v>650</v>
      </c>
      <c r="M155" s="15">
        <f>IFS(E155="Tarjeta de Crédito",J155*Instrucciones!$J$2,E155&lt;&gt;"Tarjeta de Crédito",0)</f>
        <v>47.25</v>
      </c>
      <c r="N155" s="15">
        <f t="shared" si="3"/>
        <v>652.75</v>
      </c>
      <c r="O155" s="13" t="str">
        <f t="shared" si="4"/>
        <v>Ticket Estandar</v>
      </c>
    </row>
    <row r="156" ht="15.75" customHeight="1">
      <c r="A156" s="9" t="s">
        <v>241</v>
      </c>
      <c r="B156" s="9" t="s">
        <v>232</v>
      </c>
      <c r="C156" s="9" t="s">
        <v>33</v>
      </c>
      <c r="D156" s="9" t="s">
        <v>57</v>
      </c>
      <c r="E156" s="9" t="s">
        <v>77</v>
      </c>
      <c r="F156" s="9">
        <v>1.0</v>
      </c>
      <c r="G156" s="13" t="str">
        <f t="array" ref="G156:J156">XLOOKUP(C156,DimProductos[ID_Producto],DimProductos[[Producto]:[Precio_Lista]])</f>
        <v>Monitor Curvo 27"</v>
      </c>
      <c r="H156" s="13" t="s">
        <v>36</v>
      </c>
      <c r="I156" s="14">
        <v>2800.0</v>
      </c>
      <c r="J156" s="14">
        <v>4999.0</v>
      </c>
      <c r="K156" s="13">
        <f t="shared" si="1"/>
        <v>4999</v>
      </c>
      <c r="L156" s="13">
        <f t="shared" si="2"/>
        <v>2800</v>
      </c>
      <c r="M156" s="15">
        <f>IFS(E156="Tarjeta de Crédito",J156*Instrucciones!$J$2,E156&lt;&gt;"Tarjeta de Crédito",0)</f>
        <v>174.965</v>
      </c>
      <c r="N156" s="15">
        <f t="shared" si="3"/>
        <v>2024.035</v>
      </c>
      <c r="O156" s="13" t="str">
        <f t="shared" si="4"/>
        <v>Ticket alto valor</v>
      </c>
    </row>
    <row r="157" ht="15.75" customHeight="1">
      <c r="A157" s="9" t="s">
        <v>242</v>
      </c>
      <c r="B157" s="9" t="s">
        <v>232</v>
      </c>
      <c r="C157" s="9" t="s">
        <v>40</v>
      </c>
      <c r="D157" s="9" t="s">
        <v>79</v>
      </c>
      <c r="E157" s="9" t="s">
        <v>77</v>
      </c>
      <c r="F157" s="9">
        <v>1.0</v>
      </c>
      <c r="G157" s="13" t="str">
        <f t="array" ref="G157:J157">XLOOKUP(C157,DimProductos[ID_Producto],DimProductos[[Producto]:[Precio_Lista]])</f>
        <v>Teclado Mecánico RGB</v>
      </c>
      <c r="H157" s="13" t="s">
        <v>43</v>
      </c>
      <c r="I157" s="14">
        <v>650.0</v>
      </c>
      <c r="J157" s="14">
        <v>1350.0</v>
      </c>
      <c r="K157" s="13">
        <f t="shared" si="1"/>
        <v>1350</v>
      </c>
      <c r="L157" s="13">
        <f t="shared" si="2"/>
        <v>650</v>
      </c>
      <c r="M157" s="15">
        <f>IFS(E157="Tarjeta de Crédito",J157*Instrucciones!$J$2,E157&lt;&gt;"Tarjeta de Crédito",0)</f>
        <v>47.25</v>
      </c>
      <c r="N157" s="15">
        <f t="shared" si="3"/>
        <v>652.75</v>
      </c>
      <c r="O157" s="13" t="str">
        <f t="shared" si="4"/>
        <v>Ticket Estandar</v>
      </c>
    </row>
    <row r="158" ht="15.75" customHeight="1">
      <c r="A158" s="9" t="s">
        <v>243</v>
      </c>
      <c r="B158" s="9" t="s">
        <v>244</v>
      </c>
      <c r="C158" s="9" t="s">
        <v>65</v>
      </c>
      <c r="D158" s="9" t="s">
        <v>57</v>
      </c>
      <c r="E158" s="9" t="s">
        <v>58</v>
      </c>
      <c r="F158" s="9">
        <v>1.0</v>
      </c>
      <c r="G158" s="13" t="str">
        <f t="array" ref="G158:J158">XLOOKUP(C158,DimProductos[ID_Producto],DimProductos[[Producto]:[Precio_Lista]])</f>
        <v>Silla Ergonómica Pro</v>
      </c>
      <c r="H158" s="13" t="s">
        <v>67</v>
      </c>
      <c r="I158" s="14">
        <v>3200.0</v>
      </c>
      <c r="J158" s="14">
        <v>5699.0</v>
      </c>
      <c r="K158" s="13">
        <f t="shared" si="1"/>
        <v>5699</v>
      </c>
      <c r="L158" s="13">
        <f t="shared" si="2"/>
        <v>3200</v>
      </c>
      <c r="M158" s="15">
        <f>IFS(E158="Tarjeta de Crédito",J158*Instrucciones!$J$2,E158&lt;&gt;"Tarjeta de Crédito",0)</f>
        <v>0</v>
      </c>
      <c r="N158" s="15">
        <f t="shared" si="3"/>
        <v>2499</v>
      </c>
      <c r="O158" s="13" t="str">
        <f t="shared" si="4"/>
        <v>Ticket alto valor</v>
      </c>
    </row>
    <row r="159" ht="15.75" customHeight="1">
      <c r="A159" s="9" t="s">
        <v>245</v>
      </c>
      <c r="B159" s="9" t="s">
        <v>244</v>
      </c>
      <c r="C159" s="9" t="s">
        <v>59</v>
      </c>
      <c r="D159" s="9" t="s">
        <v>69</v>
      </c>
      <c r="E159" s="9" t="s">
        <v>70</v>
      </c>
      <c r="F159" s="9">
        <v>2.0</v>
      </c>
      <c r="G159" s="13" t="str">
        <f t="array" ref="G159:J159">XLOOKUP(C159,DimProductos[ID_Producto],DimProductos[[Producto]:[Precio_Lista]])</f>
        <v>Laptop Ultrabook 14"</v>
      </c>
      <c r="H159" s="13" t="s">
        <v>56</v>
      </c>
      <c r="I159" s="14">
        <v>11200.0</v>
      </c>
      <c r="J159" s="14">
        <v>17999.0</v>
      </c>
      <c r="K159" s="13">
        <f t="shared" si="1"/>
        <v>35998</v>
      </c>
      <c r="L159" s="13">
        <f t="shared" si="2"/>
        <v>22400</v>
      </c>
      <c r="M159" s="15">
        <f>IFS(E159="Tarjeta de Crédito",J159*Instrucciones!$J$2,E159&lt;&gt;"Tarjeta de Crédito",0)</f>
        <v>0</v>
      </c>
      <c r="N159" s="15">
        <f t="shared" si="3"/>
        <v>13598</v>
      </c>
      <c r="O159" s="13" t="str">
        <f t="shared" si="4"/>
        <v>Ticket alto valor</v>
      </c>
    </row>
    <row r="160" ht="15.75" customHeight="1">
      <c r="A160" s="9" t="s">
        <v>246</v>
      </c>
      <c r="B160" s="9" t="s">
        <v>244</v>
      </c>
      <c r="C160" s="9" t="s">
        <v>40</v>
      </c>
      <c r="D160" s="9" t="s">
        <v>79</v>
      </c>
      <c r="E160" s="9" t="s">
        <v>70</v>
      </c>
      <c r="F160" s="9">
        <v>1.0</v>
      </c>
      <c r="G160" s="13" t="str">
        <f t="array" ref="G160:J160">XLOOKUP(C160,DimProductos[ID_Producto],DimProductos[[Producto]:[Precio_Lista]])</f>
        <v>Teclado Mecánico RGB</v>
      </c>
      <c r="H160" s="13" t="s">
        <v>43</v>
      </c>
      <c r="I160" s="14">
        <v>650.0</v>
      </c>
      <c r="J160" s="14">
        <v>1350.0</v>
      </c>
      <c r="K160" s="13">
        <f t="shared" si="1"/>
        <v>1350</v>
      </c>
      <c r="L160" s="13">
        <f t="shared" si="2"/>
        <v>650</v>
      </c>
      <c r="M160" s="15">
        <f>IFS(E160="Tarjeta de Crédito",J160*Instrucciones!$J$2,E160&lt;&gt;"Tarjeta de Crédito",0)</f>
        <v>0</v>
      </c>
      <c r="N160" s="15">
        <f t="shared" si="3"/>
        <v>700</v>
      </c>
      <c r="O160" s="13" t="str">
        <f t="shared" si="4"/>
        <v>Ticket Estandar</v>
      </c>
    </row>
    <row r="161" ht="15.75" customHeight="1">
      <c r="A161" s="9" t="s">
        <v>247</v>
      </c>
      <c r="B161" s="9" t="s">
        <v>244</v>
      </c>
      <c r="C161" s="9" t="s">
        <v>55</v>
      </c>
      <c r="D161" s="9" t="s">
        <v>79</v>
      </c>
      <c r="E161" s="9" t="s">
        <v>73</v>
      </c>
      <c r="F161" s="9">
        <v>2.0</v>
      </c>
      <c r="G161" s="13" t="str">
        <f t="array" ref="G161:J161">XLOOKUP(C161,DimProductos[ID_Producto],DimProductos[[Producto]:[Precio_Lista]])</f>
        <v>Micrófono USB Studio</v>
      </c>
      <c r="H161" s="13" t="s">
        <v>63</v>
      </c>
      <c r="I161" s="14">
        <v>950.0</v>
      </c>
      <c r="J161" s="14">
        <v>1899.0</v>
      </c>
      <c r="K161" s="13">
        <f t="shared" si="1"/>
        <v>3798</v>
      </c>
      <c r="L161" s="13">
        <f t="shared" si="2"/>
        <v>1900</v>
      </c>
      <c r="M161" s="15">
        <f>IFS(E161="Tarjeta de Crédito",J161*Instrucciones!$J$2,E161&lt;&gt;"Tarjeta de Crédito",0)</f>
        <v>0</v>
      </c>
      <c r="N161" s="15">
        <f t="shared" si="3"/>
        <v>1898</v>
      </c>
      <c r="O161" s="13" t="str">
        <f t="shared" si="4"/>
        <v>Ticket alto valor</v>
      </c>
    </row>
    <row r="162" ht="15.75" customHeight="1">
      <c r="A162" s="9" t="s">
        <v>248</v>
      </c>
      <c r="B162" s="9" t="s">
        <v>244</v>
      </c>
      <c r="C162" s="9" t="s">
        <v>33</v>
      </c>
      <c r="D162" s="9" t="s">
        <v>69</v>
      </c>
      <c r="E162" s="9" t="s">
        <v>77</v>
      </c>
      <c r="F162" s="9">
        <v>4.0</v>
      </c>
      <c r="G162" s="13" t="str">
        <f t="array" ref="G162:J162">XLOOKUP(C162,DimProductos[ID_Producto],DimProductos[[Producto]:[Precio_Lista]])</f>
        <v>Monitor Curvo 27"</v>
      </c>
      <c r="H162" s="13" t="s">
        <v>36</v>
      </c>
      <c r="I162" s="14">
        <v>2800.0</v>
      </c>
      <c r="J162" s="14">
        <v>4999.0</v>
      </c>
      <c r="K162" s="13">
        <f t="shared" si="1"/>
        <v>19996</v>
      </c>
      <c r="L162" s="13">
        <f t="shared" si="2"/>
        <v>11200</v>
      </c>
      <c r="M162" s="15">
        <f>IFS(E162="Tarjeta de Crédito",J162*Instrucciones!$J$2,E162&lt;&gt;"Tarjeta de Crédito",0)</f>
        <v>174.965</v>
      </c>
      <c r="N162" s="15">
        <f t="shared" si="3"/>
        <v>8621.035</v>
      </c>
      <c r="O162" s="13" t="str">
        <f t="shared" si="4"/>
        <v>Ticket alto valor</v>
      </c>
    </row>
    <row r="163" ht="15.75" customHeight="1">
      <c r="A163" s="9" t="s">
        <v>249</v>
      </c>
      <c r="B163" s="9" t="s">
        <v>244</v>
      </c>
      <c r="C163" s="9" t="s">
        <v>46</v>
      </c>
      <c r="D163" s="9" t="s">
        <v>69</v>
      </c>
      <c r="E163" s="9" t="s">
        <v>58</v>
      </c>
      <c r="F163" s="9">
        <v>2.0</v>
      </c>
      <c r="G163" s="13" t="str">
        <f t="array" ref="G163:J163">XLOOKUP(C163,DimProductos[ID_Producto],DimProductos[[Producto]:[Precio_Lista]])</f>
        <v>Mouse Inalámbrico Pro</v>
      </c>
      <c r="H163" s="13" t="s">
        <v>43</v>
      </c>
      <c r="I163" s="14">
        <v>420.0</v>
      </c>
      <c r="J163" s="14">
        <v>899.0</v>
      </c>
      <c r="K163" s="13">
        <f t="shared" si="1"/>
        <v>1798</v>
      </c>
      <c r="L163" s="13">
        <f t="shared" si="2"/>
        <v>840</v>
      </c>
      <c r="M163" s="15">
        <f>IFS(E163="Tarjeta de Crédito",J163*Instrucciones!$J$2,E163&lt;&gt;"Tarjeta de Crédito",0)</f>
        <v>0</v>
      </c>
      <c r="N163" s="15">
        <f t="shared" si="3"/>
        <v>958</v>
      </c>
      <c r="O163" s="13" t="str">
        <f t="shared" si="4"/>
        <v>Ticket Estandar</v>
      </c>
    </row>
    <row r="164" ht="15.75" customHeight="1">
      <c r="A164" s="9" t="s">
        <v>250</v>
      </c>
      <c r="B164" s="9" t="s">
        <v>244</v>
      </c>
      <c r="C164" s="9" t="s">
        <v>46</v>
      </c>
      <c r="D164" s="9" t="s">
        <v>69</v>
      </c>
      <c r="E164" s="9" t="s">
        <v>73</v>
      </c>
      <c r="F164" s="9">
        <v>1.0</v>
      </c>
      <c r="G164" s="13" t="str">
        <f t="array" ref="G164:J164">XLOOKUP(C164,DimProductos[ID_Producto],DimProductos[[Producto]:[Precio_Lista]])</f>
        <v>Mouse Inalámbrico Pro</v>
      </c>
      <c r="H164" s="13" t="s">
        <v>43</v>
      </c>
      <c r="I164" s="14">
        <v>420.0</v>
      </c>
      <c r="J164" s="14">
        <v>899.0</v>
      </c>
      <c r="K164" s="13">
        <f t="shared" si="1"/>
        <v>899</v>
      </c>
      <c r="L164" s="13">
        <f t="shared" si="2"/>
        <v>420</v>
      </c>
      <c r="M164" s="15">
        <f>IFS(E164="Tarjeta de Crédito",J164*Instrucciones!$J$2,E164&lt;&gt;"Tarjeta de Crédito",0)</f>
        <v>0</v>
      </c>
      <c r="N164" s="15">
        <f t="shared" si="3"/>
        <v>479</v>
      </c>
      <c r="O164" s="13" t="str">
        <f t="shared" si="4"/>
        <v>Ticket Estandar</v>
      </c>
    </row>
    <row r="165" ht="15.75" customHeight="1">
      <c r="A165" s="9" t="s">
        <v>251</v>
      </c>
      <c r="B165" s="9" t="s">
        <v>244</v>
      </c>
      <c r="C165" s="9" t="s">
        <v>33</v>
      </c>
      <c r="D165" s="9" t="s">
        <v>57</v>
      </c>
      <c r="E165" s="9" t="s">
        <v>58</v>
      </c>
      <c r="F165" s="9">
        <v>1.0</v>
      </c>
      <c r="G165" s="13" t="str">
        <f t="array" ref="G165:J165">XLOOKUP(C165,DimProductos[ID_Producto],DimProductos[[Producto]:[Precio_Lista]])</f>
        <v>Monitor Curvo 27"</v>
      </c>
      <c r="H165" s="13" t="s">
        <v>36</v>
      </c>
      <c r="I165" s="14">
        <v>2800.0</v>
      </c>
      <c r="J165" s="14">
        <v>4999.0</v>
      </c>
      <c r="K165" s="13">
        <f t="shared" si="1"/>
        <v>4999</v>
      </c>
      <c r="L165" s="13">
        <f t="shared" si="2"/>
        <v>2800</v>
      </c>
      <c r="M165" s="15">
        <f>IFS(E165="Tarjeta de Crédito",J165*Instrucciones!$J$2,E165&lt;&gt;"Tarjeta de Crédito",0)</f>
        <v>0</v>
      </c>
      <c r="N165" s="15">
        <f t="shared" si="3"/>
        <v>2199</v>
      </c>
      <c r="O165" s="13" t="str">
        <f t="shared" si="4"/>
        <v>Ticket alto valor</v>
      </c>
    </row>
    <row r="166" ht="15.75" customHeight="1">
      <c r="A166" s="9" t="s">
        <v>252</v>
      </c>
      <c r="B166" s="9" t="s">
        <v>244</v>
      </c>
      <c r="C166" s="9" t="s">
        <v>40</v>
      </c>
      <c r="D166" s="9" t="s">
        <v>69</v>
      </c>
      <c r="E166" s="9" t="s">
        <v>77</v>
      </c>
      <c r="F166" s="9">
        <v>2.0</v>
      </c>
      <c r="G166" s="13" t="str">
        <f t="array" ref="G166:J166">XLOOKUP(C166,DimProductos[ID_Producto],DimProductos[[Producto]:[Precio_Lista]])</f>
        <v>Teclado Mecánico RGB</v>
      </c>
      <c r="H166" s="13" t="s">
        <v>43</v>
      </c>
      <c r="I166" s="14">
        <v>650.0</v>
      </c>
      <c r="J166" s="14">
        <v>1350.0</v>
      </c>
      <c r="K166" s="13">
        <f t="shared" si="1"/>
        <v>2700</v>
      </c>
      <c r="L166" s="13">
        <f t="shared" si="2"/>
        <v>1300</v>
      </c>
      <c r="M166" s="15">
        <f>IFS(E166="Tarjeta de Crédito",J166*Instrucciones!$J$2,E166&lt;&gt;"Tarjeta de Crédito",0)</f>
        <v>47.25</v>
      </c>
      <c r="N166" s="15">
        <f t="shared" si="3"/>
        <v>1352.75</v>
      </c>
      <c r="O166" s="13" t="str">
        <f t="shared" si="4"/>
        <v>Ticket Estandar</v>
      </c>
    </row>
    <row r="167" ht="15.75" customHeight="1">
      <c r="A167" s="9" t="s">
        <v>253</v>
      </c>
      <c r="B167" s="9" t="s">
        <v>244</v>
      </c>
      <c r="C167" s="9" t="s">
        <v>33</v>
      </c>
      <c r="D167" s="9" t="s">
        <v>57</v>
      </c>
      <c r="E167" s="9" t="s">
        <v>58</v>
      </c>
      <c r="F167" s="9">
        <v>2.0</v>
      </c>
      <c r="G167" s="13" t="str">
        <f t="array" ref="G167:J167">XLOOKUP(C167,DimProductos[ID_Producto],DimProductos[[Producto]:[Precio_Lista]])</f>
        <v>Monitor Curvo 27"</v>
      </c>
      <c r="H167" s="13" t="s">
        <v>36</v>
      </c>
      <c r="I167" s="14">
        <v>2800.0</v>
      </c>
      <c r="J167" s="14">
        <v>4999.0</v>
      </c>
      <c r="K167" s="13">
        <f t="shared" si="1"/>
        <v>9998</v>
      </c>
      <c r="L167" s="13">
        <f t="shared" si="2"/>
        <v>5600</v>
      </c>
      <c r="M167" s="15">
        <f>IFS(E167="Tarjeta de Crédito",J167*Instrucciones!$J$2,E167&lt;&gt;"Tarjeta de Crédito",0)</f>
        <v>0</v>
      </c>
      <c r="N167" s="15">
        <f t="shared" si="3"/>
        <v>4398</v>
      </c>
      <c r="O167" s="13" t="str">
        <f t="shared" si="4"/>
        <v>Ticket alto valor</v>
      </c>
    </row>
    <row r="168" ht="15.75" customHeight="1">
      <c r="A168" s="9" t="s">
        <v>254</v>
      </c>
      <c r="B168" s="9" t="s">
        <v>244</v>
      </c>
      <c r="C168" s="9" t="s">
        <v>46</v>
      </c>
      <c r="D168" s="9" t="s">
        <v>79</v>
      </c>
      <c r="E168" s="9" t="s">
        <v>70</v>
      </c>
      <c r="F168" s="9">
        <v>1.0</v>
      </c>
      <c r="G168" s="13" t="str">
        <f t="array" ref="G168:J168">XLOOKUP(C168,DimProductos[ID_Producto],DimProductos[[Producto]:[Precio_Lista]])</f>
        <v>Mouse Inalámbrico Pro</v>
      </c>
      <c r="H168" s="13" t="s">
        <v>43</v>
      </c>
      <c r="I168" s="14">
        <v>420.0</v>
      </c>
      <c r="J168" s="14">
        <v>899.0</v>
      </c>
      <c r="K168" s="13">
        <f t="shared" si="1"/>
        <v>899</v>
      </c>
      <c r="L168" s="13">
        <f t="shared" si="2"/>
        <v>420</v>
      </c>
      <c r="M168" s="15">
        <f>IFS(E168="Tarjeta de Crédito",J168*Instrucciones!$J$2,E168&lt;&gt;"Tarjeta de Crédito",0)</f>
        <v>0</v>
      </c>
      <c r="N168" s="15">
        <f t="shared" si="3"/>
        <v>479</v>
      </c>
      <c r="O168" s="13" t="str">
        <f t="shared" si="4"/>
        <v>Ticket Estandar</v>
      </c>
    </row>
    <row r="169" ht="15.75" customHeight="1">
      <c r="A169" s="9" t="s">
        <v>255</v>
      </c>
      <c r="B169" s="9" t="s">
        <v>244</v>
      </c>
      <c r="C169" s="9" t="s">
        <v>65</v>
      </c>
      <c r="D169" s="9" t="s">
        <v>79</v>
      </c>
      <c r="E169" s="9" t="s">
        <v>73</v>
      </c>
      <c r="F169" s="9">
        <v>1.0</v>
      </c>
      <c r="G169" s="13" t="str">
        <f t="array" ref="G169:J169">XLOOKUP(C169,DimProductos[ID_Producto],DimProductos[[Producto]:[Precio_Lista]])</f>
        <v>Silla Ergonómica Pro</v>
      </c>
      <c r="H169" s="13" t="s">
        <v>67</v>
      </c>
      <c r="I169" s="14">
        <v>3200.0</v>
      </c>
      <c r="J169" s="14">
        <v>5699.0</v>
      </c>
      <c r="K169" s="13">
        <f t="shared" si="1"/>
        <v>5699</v>
      </c>
      <c r="L169" s="13">
        <f t="shared" si="2"/>
        <v>3200</v>
      </c>
      <c r="M169" s="15">
        <f>IFS(E169="Tarjeta de Crédito",J169*Instrucciones!$J$2,E169&lt;&gt;"Tarjeta de Crédito",0)</f>
        <v>0</v>
      </c>
      <c r="N169" s="15">
        <f t="shared" si="3"/>
        <v>2499</v>
      </c>
      <c r="O169" s="13" t="str">
        <f t="shared" si="4"/>
        <v>Ticket alto valor</v>
      </c>
    </row>
    <row r="170" ht="15.75" customHeight="1">
      <c r="A170" s="9" t="s">
        <v>256</v>
      </c>
      <c r="B170" s="9" t="s">
        <v>244</v>
      </c>
      <c r="C170" s="9" t="s">
        <v>33</v>
      </c>
      <c r="D170" s="9" t="s">
        <v>69</v>
      </c>
      <c r="E170" s="9" t="s">
        <v>77</v>
      </c>
      <c r="F170" s="9">
        <v>2.0</v>
      </c>
      <c r="G170" s="13" t="str">
        <f t="array" ref="G170:J170">XLOOKUP(C170,DimProductos[ID_Producto],DimProductos[[Producto]:[Precio_Lista]])</f>
        <v>Monitor Curvo 27"</v>
      </c>
      <c r="H170" s="13" t="s">
        <v>36</v>
      </c>
      <c r="I170" s="14">
        <v>2800.0</v>
      </c>
      <c r="J170" s="14">
        <v>4999.0</v>
      </c>
      <c r="K170" s="13">
        <f t="shared" si="1"/>
        <v>9998</v>
      </c>
      <c r="L170" s="13">
        <f t="shared" si="2"/>
        <v>5600</v>
      </c>
      <c r="M170" s="15">
        <f>IFS(E170="Tarjeta de Crédito",J170*Instrucciones!$J$2,E170&lt;&gt;"Tarjeta de Crédito",0)</f>
        <v>174.965</v>
      </c>
      <c r="N170" s="15">
        <f t="shared" si="3"/>
        <v>4223.035</v>
      </c>
      <c r="O170" s="13" t="str">
        <f t="shared" si="4"/>
        <v>Ticket alto valor</v>
      </c>
    </row>
    <row r="171" ht="15.75" customHeight="1">
      <c r="A171" s="9" t="s">
        <v>257</v>
      </c>
      <c r="B171" s="9" t="s">
        <v>244</v>
      </c>
      <c r="C171" s="9" t="s">
        <v>61</v>
      </c>
      <c r="D171" s="9" t="s">
        <v>57</v>
      </c>
      <c r="E171" s="9" t="s">
        <v>73</v>
      </c>
      <c r="F171" s="9">
        <v>1.0</v>
      </c>
      <c r="G171" s="13" t="str">
        <f t="array" ref="G171:J171">XLOOKUP(C171,DimProductos[ID_Producto],DimProductos[[Producto]:[Precio_Lista]])</f>
        <v>Auriculares Noise Cancelling</v>
      </c>
      <c r="H171" s="13" t="s">
        <v>63</v>
      </c>
      <c r="I171" s="14">
        <v>1600.0</v>
      </c>
      <c r="J171" s="14">
        <v>3199.0</v>
      </c>
      <c r="K171" s="13">
        <f t="shared" si="1"/>
        <v>3199</v>
      </c>
      <c r="L171" s="13">
        <f t="shared" si="2"/>
        <v>1600</v>
      </c>
      <c r="M171" s="15">
        <f>IFS(E171="Tarjeta de Crédito",J171*Instrucciones!$J$2,E171&lt;&gt;"Tarjeta de Crédito",0)</f>
        <v>0</v>
      </c>
      <c r="N171" s="15">
        <f t="shared" si="3"/>
        <v>1599</v>
      </c>
      <c r="O171" s="13" t="str">
        <f t="shared" si="4"/>
        <v>Ticket alto valor</v>
      </c>
    </row>
    <row r="172" ht="15.75" customHeight="1">
      <c r="A172" s="9" t="s">
        <v>258</v>
      </c>
      <c r="B172" s="9" t="s">
        <v>244</v>
      </c>
      <c r="C172" s="9" t="s">
        <v>52</v>
      </c>
      <c r="D172" s="9" t="s">
        <v>79</v>
      </c>
      <c r="E172" s="9" t="s">
        <v>73</v>
      </c>
      <c r="F172" s="9">
        <v>3.0</v>
      </c>
      <c r="G172" s="13" t="str">
        <f t="array" ref="G172:J172">XLOOKUP(C172,DimProductos[ID_Producto],DimProductos[[Producto]:[Precio_Lista]])</f>
        <v>Laptop Gamer 16GB</v>
      </c>
      <c r="H172" s="13" t="s">
        <v>56</v>
      </c>
      <c r="I172" s="14">
        <v>14500.0</v>
      </c>
      <c r="J172" s="14">
        <v>22499.0</v>
      </c>
      <c r="K172" s="13">
        <f t="shared" si="1"/>
        <v>67497</v>
      </c>
      <c r="L172" s="13">
        <f t="shared" si="2"/>
        <v>43500</v>
      </c>
      <c r="M172" s="15">
        <f>IFS(E172="Tarjeta de Crédito",J172*Instrucciones!$J$2,E172&lt;&gt;"Tarjeta de Crédito",0)</f>
        <v>0</v>
      </c>
      <c r="N172" s="15">
        <f t="shared" si="3"/>
        <v>23997</v>
      </c>
      <c r="O172" s="13" t="str">
        <f t="shared" si="4"/>
        <v>Ticket alto valor</v>
      </c>
    </row>
    <row r="173" ht="15.75" customHeight="1">
      <c r="A173" s="9" t="s">
        <v>259</v>
      </c>
      <c r="B173" s="9" t="s">
        <v>244</v>
      </c>
      <c r="C173" s="9" t="s">
        <v>33</v>
      </c>
      <c r="D173" s="9" t="s">
        <v>69</v>
      </c>
      <c r="E173" s="9" t="s">
        <v>73</v>
      </c>
      <c r="F173" s="9">
        <v>1.0</v>
      </c>
      <c r="G173" s="13" t="str">
        <f t="array" ref="G173:J173">XLOOKUP(C173,DimProductos[ID_Producto],DimProductos[[Producto]:[Precio_Lista]])</f>
        <v>Monitor Curvo 27"</v>
      </c>
      <c r="H173" s="13" t="s">
        <v>36</v>
      </c>
      <c r="I173" s="14">
        <v>2800.0</v>
      </c>
      <c r="J173" s="14">
        <v>4999.0</v>
      </c>
      <c r="K173" s="13">
        <f t="shared" si="1"/>
        <v>4999</v>
      </c>
      <c r="L173" s="13">
        <f t="shared" si="2"/>
        <v>2800</v>
      </c>
      <c r="M173" s="15">
        <f>IFS(E173="Tarjeta de Crédito",J173*Instrucciones!$J$2,E173&lt;&gt;"Tarjeta de Crédito",0)</f>
        <v>0</v>
      </c>
      <c r="N173" s="15">
        <f t="shared" si="3"/>
        <v>2199</v>
      </c>
      <c r="O173" s="13" t="str">
        <f t="shared" si="4"/>
        <v>Ticket alto valor</v>
      </c>
    </row>
    <row r="174" ht="15.75" customHeight="1">
      <c r="A174" s="9" t="s">
        <v>260</v>
      </c>
      <c r="B174" s="9" t="s">
        <v>244</v>
      </c>
      <c r="C174" s="9" t="s">
        <v>33</v>
      </c>
      <c r="D174" s="9" t="s">
        <v>57</v>
      </c>
      <c r="E174" s="9" t="s">
        <v>70</v>
      </c>
      <c r="F174" s="9">
        <v>1.0</v>
      </c>
      <c r="G174" s="13" t="str">
        <f t="array" ref="G174:J174">XLOOKUP(C174,DimProductos[ID_Producto],DimProductos[[Producto]:[Precio_Lista]])</f>
        <v>Monitor Curvo 27"</v>
      </c>
      <c r="H174" s="13" t="s">
        <v>36</v>
      </c>
      <c r="I174" s="14">
        <v>2800.0</v>
      </c>
      <c r="J174" s="14">
        <v>4999.0</v>
      </c>
      <c r="K174" s="13">
        <f t="shared" si="1"/>
        <v>4999</v>
      </c>
      <c r="L174" s="13">
        <f t="shared" si="2"/>
        <v>2800</v>
      </c>
      <c r="M174" s="15">
        <f>IFS(E174="Tarjeta de Crédito",J174*Instrucciones!$J$2,E174&lt;&gt;"Tarjeta de Crédito",0)</f>
        <v>0</v>
      </c>
      <c r="N174" s="15">
        <f t="shared" si="3"/>
        <v>2199</v>
      </c>
      <c r="O174" s="13" t="str">
        <f t="shared" si="4"/>
        <v>Ticket alto valor</v>
      </c>
    </row>
    <row r="175" ht="15.75" customHeight="1">
      <c r="A175" s="9" t="s">
        <v>261</v>
      </c>
      <c r="B175" s="9" t="s">
        <v>244</v>
      </c>
      <c r="C175" s="9" t="s">
        <v>52</v>
      </c>
      <c r="D175" s="9" t="s">
        <v>57</v>
      </c>
      <c r="E175" s="9" t="s">
        <v>73</v>
      </c>
      <c r="F175" s="9">
        <v>1.0</v>
      </c>
      <c r="G175" s="13" t="str">
        <f t="array" ref="G175:J175">XLOOKUP(C175,DimProductos[ID_Producto],DimProductos[[Producto]:[Precio_Lista]])</f>
        <v>Laptop Gamer 16GB</v>
      </c>
      <c r="H175" s="13" t="s">
        <v>56</v>
      </c>
      <c r="I175" s="14">
        <v>14500.0</v>
      </c>
      <c r="J175" s="14">
        <v>22499.0</v>
      </c>
      <c r="K175" s="13">
        <f t="shared" si="1"/>
        <v>22499</v>
      </c>
      <c r="L175" s="13">
        <f t="shared" si="2"/>
        <v>14500</v>
      </c>
      <c r="M175" s="15">
        <f>IFS(E175="Tarjeta de Crédito",J175*Instrucciones!$J$2,E175&lt;&gt;"Tarjeta de Crédito",0)</f>
        <v>0</v>
      </c>
      <c r="N175" s="15">
        <f t="shared" si="3"/>
        <v>7999</v>
      </c>
      <c r="O175" s="13" t="str">
        <f t="shared" si="4"/>
        <v>Ticket alto valor</v>
      </c>
    </row>
    <row r="176" ht="15.75" customHeight="1">
      <c r="A176" s="9" t="s">
        <v>262</v>
      </c>
      <c r="B176" s="9" t="s">
        <v>263</v>
      </c>
      <c r="C176" s="9" t="s">
        <v>40</v>
      </c>
      <c r="D176" s="9" t="s">
        <v>72</v>
      </c>
      <c r="E176" s="9" t="s">
        <v>58</v>
      </c>
      <c r="F176" s="9">
        <v>1.0</v>
      </c>
      <c r="G176" s="13" t="str">
        <f t="array" ref="G176:J176">XLOOKUP(C176,DimProductos[ID_Producto],DimProductos[[Producto]:[Precio_Lista]])</f>
        <v>Teclado Mecánico RGB</v>
      </c>
      <c r="H176" s="13" t="s">
        <v>43</v>
      </c>
      <c r="I176" s="14">
        <v>650.0</v>
      </c>
      <c r="J176" s="14">
        <v>1350.0</v>
      </c>
      <c r="K176" s="13">
        <f t="shared" si="1"/>
        <v>1350</v>
      </c>
      <c r="L176" s="13">
        <f t="shared" si="2"/>
        <v>650</v>
      </c>
      <c r="M176" s="15">
        <f>IFS(E176="Tarjeta de Crédito",J176*Instrucciones!$J$2,E176&lt;&gt;"Tarjeta de Crédito",0)</f>
        <v>0</v>
      </c>
      <c r="N176" s="15">
        <f t="shared" si="3"/>
        <v>700</v>
      </c>
      <c r="O176" s="13" t="str">
        <f t="shared" si="4"/>
        <v>Ticket Estandar</v>
      </c>
    </row>
    <row r="177" ht="15.75" customHeight="1">
      <c r="A177" s="9" t="s">
        <v>264</v>
      </c>
      <c r="B177" s="9" t="s">
        <v>263</v>
      </c>
      <c r="C177" s="9" t="s">
        <v>61</v>
      </c>
      <c r="D177" s="9" t="s">
        <v>79</v>
      </c>
      <c r="E177" s="9" t="s">
        <v>73</v>
      </c>
      <c r="F177" s="9">
        <v>2.0</v>
      </c>
      <c r="G177" s="13" t="str">
        <f t="array" ref="G177:J177">XLOOKUP(C177,DimProductos[ID_Producto],DimProductos[[Producto]:[Precio_Lista]])</f>
        <v>Auriculares Noise Cancelling</v>
      </c>
      <c r="H177" s="13" t="s">
        <v>63</v>
      </c>
      <c r="I177" s="14">
        <v>1600.0</v>
      </c>
      <c r="J177" s="14">
        <v>3199.0</v>
      </c>
      <c r="K177" s="13">
        <f t="shared" si="1"/>
        <v>6398</v>
      </c>
      <c r="L177" s="13">
        <f t="shared" si="2"/>
        <v>3200</v>
      </c>
      <c r="M177" s="15">
        <f>IFS(E177="Tarjeta de Crédito",J177*Instrucciones!$J$2,E177&lt;&gt;"Tarjeta de Crédito",0)</f>
        <v>0</v>
      </c>
      <c r="N177" s="15">
        <f t="shared" si="3"/>
        <v>3198</v>
      </c>
      <c r="O177" s="13" t="str">
        <f t="shared" si="4"/>
        <v>Ticket alto valor</v>
      </c>
    </row>
    <row r="178" ht="15.75" customHeight="1">
      <c r="A178" s="9" t="s">
        <v>265</v>
      </c>
      <c r="B178" s="9" t="s">
        <v>263</v>
      </c>
      <c r="C178" s="9" t="s">
        <v>52</v>
      </c>
      <c r="D178" s="9" t="s">
        <v>69</v>
      </c>
      <c r="E178" s="9" t="s">
        <v>58</v>
      </c>
      <c r="F178" s="9">
        <v>1.0</v>
      </c>
      <c r="G178" s="13" t="str">
        <f t="array" ref="G178:J178">XLOOKUP(C178,DimProductos[ID_Producto],DimProductos[[Producto]:[Precio_Lista]])</f>
        <v>Laptop Gamer 16GB</v>
      </c>
      <c r="H178" s="13" t="s">
        <v>56</v>
      </c>
      <c r="I178" s="14">
        <v>14500.0</v>
      </c>
      <c r="J178" s="14">
        <v>22499.0</v>
      </c>
      <c r="K178" s="13">
        <f t="shared" si="1"/>
        <v>22499</v>
      </c>
      <c r="L178" s="13">
        <f t="shared" si="2"/>
        <v>14500</v>
      </c>
      <c r="M178" s="15">
        <f>IFS(E178="Tarjeta de Crédito",J178*Instrucciones!$J$2,E178&lt;&gt;"Tarjeta de Crédito",0)</f>
        <v>0</v>
      </c>
      <c r="N178" s="15">
        <f t="shared" si="3"/>
        <v>7999</v>
      </c>
      <c r="O178" s="13" t="str">
        <f t="shared" si="4"/>
        <v>Ticket alto valor</v>
      </c>
    </row>
    <row r="179" ht="15.75" customHeight="1">
      <c r="A179" s="9" t="s">
        <v>266</v>
      </c>
      <c r="B179" s="9" t="s">
        <v>263</v>
      </c>
      <c r="C179" s="9" t="s">
        <v>33</v>
      </c>
      <c r="D179" s="9" t="s">
        <v>72</v>
      </c>
      <c r="E179" s="9" t="s">
        <v>70</v>
      </c>
      <c r="F179" s="9">
        <v>3.0</v>
      </c>
      <c r="G179" s="13" t="str">
        <f t="array" ref="G179:J179">XLOOKUP(C179,DimProductos[ID_Producto],DimProductos[[Producto]:[Precio_Lista]])</f>
        <v>Monitor Curvo 27"</v>
      </c>
      <c r="H179" s="13" t="s">
        <v>36</v>
      </c>
      <c r="I179" s="14">
        <v>2800.0</v>
      </c>
      <c r="J179" s="14">
        <v>4999.0</v>
      </c>
      <c r="K179" s="13">
        <f t="shared" si="1"/>
        <v>14997</v>
      </c>
      <c r="L179" s="13">
        <f t="shared" si="2"/>
        <v>8400</v>
      </c>
      <c r="M179" s="15">
        <f>IFS(E179="Tarjeta de Crédito",J179*Instrucciones!$J$2,E179&lt;&gt;"Tarjeta de Crédito",0)</f>
        <v>0</v>
      </c>
      <c r="N179" s="15">
        <f t="shared" si="3"/>
        <v>6597</v>
      </c>
      <c r="O179" s="13" t="str">
        <f t="shared" si="4"/>
        <v>Ticket alto valor</v>
      </c>
    </row>
    <row r="180" ht="15.75" customHeight="1">
      <c r="A180" s="9" t="s">
        <v>267</v>
      </c>
      <c r="B180" s="9" t="s">
        <v>263</v>
      </c>
      <c r="C180" s="9" t="s">
        <v>59</v>
      </c>
      <c r="D180" s="9" t="s">
        <v>57</v>
      </c>
      <c r="E180" s="9" t="s">
        <v>73</v>
      </c>
      <c r="F180" s="9">
        <v>2.0</v>
      </c>
      <c r="G180" s="13" t="str">
        <f t="array" ref="G180:J180">XLOOKUP(C180,DimProductos[ID_Producto],DimProductos[[Producto]:[Precio_Lista]])</f>
        <v>Laptop Ultrabook 14"</v>
      </c>
      <c r="H180" s="13" t="s">
        <v>56</v>
      </c>
      <c r="I180" s="14">
        <v>11200.0</v>
      </c>
      <c r="J180" s="14">
        <v>17999.0</v>
      </c>
      <c r="K180" s="13">
        <f t="shared" si="1"/>
        <v>35998</v>
      </c>
      <c r="L180" s="13">
        <f t="shared" si="2"/>
        <v>22400</v>
      </c>
      <c r="M180" s="15">
        <f>IFS(E180="Tarjeta de Crédito",J180*Instrucciones!$J$2,E180&lt;&gt;"Tarjeta de Crédito",0)</f>
        <v>0</v>
      </c>
      <c r="N180" s="15">
        <f t="shared" si="3"/>
        <v>13598</v>
      </c>
      <c r="O180" s="13" t="str">
        <f t="shared" si="4"/>
        <v>Ticket alto valor</v>
      </c>
    </row>
    <row r="181" ht="15.75" customHeight="1">
      <c r="A181" s="9" t="s">
        <v>268</v>
      </c>
      <c r="B181" s="9" t="s">
        <v>263</v>
      </c>
      <c r="C181" s="9" t="s">
        <v>59</v>
      </c>
      <c r="D181" s="9" t="s">
        <v>57</v>
      </c>
      <c r="E181" s="9" t="s">
        <v>70</v>
      </c>
      <c r="F181" s="9">
        <v>1.0</v>
      </c>
      <c r="G181" s="13" t="str">
        <f t="array" ref="G181:J181">XLOOKUP(C181,DimProductos[ID_Producto],DimProductos[[Producto]:[Precio_Lista]])</f>
        <v>Laptop Ultrabook 14"</v>
      </c>
      <c r="H181" s="13" t="s">
        <v>56</v>
      </c>
      <c r="I181" s="14">
        <v>11200.0</v>
      </c>
      <c r="J181" s="14">
        <v>17999.0</v>
      </c>
      <c r="K181" s="13">
        <f t="shared" si="1"/>
        <v>17999</v>
      </c>
      <c r="L181" s="13">
        <f t="shared" si="2"/>
        <v>11200</v>
      </c>
      <c r="M181" s="15">
        <f>IFS(E181="Tarjeta de Crédito",J181*Instrucciones!$J$2,E181&lt;&gt;"Tarjeta de Crédito",0)</f>
        <v>0</v>
      </c>
      <c r="N181" s="15">
        <f t="shared" si="3"/>
        <v>6799</v>
      </c>
      <c r="O181" s="13" t="str">
        <f t="shared" si="4"/>
        <v>Ticket alto valor</v>
      </c>
    </row>
    <row r="182" ht="15.75" customHeight="1">
      <c r="A182" s="9" t="s">
        <v>269</v>
      </c>
      <c r="B182" s="9" t="s">
        <v>263</v>
      </c>
      <c r="C182" s="9" t="s">
        <v>33</v>
      </c>
      <c r="D182" s="9" t="s">
        <v>72</v>
      </c>
      <c r="E182" s="9" t="s">
        <v>77</v>
      </c>
      <c r="F182" s="9">
        <v>1.0</v>
      </c>
      <c r="G182" s="13" t="str">
        <f t="array" ref="G182:J182">XLOOKUP(C182,DimProductos[ID_Producto],DimProductos[[Producto]:[Precio_Lista]])</f>
        <v>Monitor Curvo 27"</v>
      </c>
      <c r="H182" s="13" t="s">
        <v>36</v>
      </c>
      <c r="I182" s="14">
        <v>2800.0</v>
      </c>
      <c r="J182" s="14">
        <v>4999.0</v>
      </c>
      <c r="K182" s="13">
        <f t="shared" si="1"/>
        <v>4999</v>
      </c>
      <c r="L182" s="13">
        <f t="shared" si="2"/>
        <v>2800</v>
      </c>
      <c r="M182" s="15">
        <f>IFS(E182="Tarjeta de Crédito",J182*Instrucciones!$J$2,E182&lt;&gt;"Tarjeta de Crédito",0)</f>
        <v>174.965</v>
      </c>
      <c r="N182" s="15">
        <f t="shared" si="3"/>
        <v>2024.035</v>
      </c>
      <c r="O182" s="13" t="str">
        <f t="shared" si="4"/>
        <v>Ticket alto valor</v>
      </c>
    </row>
    <row r="183" ht="15.75" customHeight="1">
      <c r="A183" s="9" t="s">
        <v>270</v>
      </c>
      <c r="B183" s="9" t="s">
        <v>263</v>
      </c>
      <c r="C183" s="9" t="s">
        <v>55</v>
      </c>
      <c r="D183" s="9" t="s">
        <v>57</v>
      </c>
      <c r="E183" s="9" t="s">
        <v>73</v>
      </c>
      <c r="F183" s="9">
        <v>1.0</v>
      </c>
      <c r="G183" s="13" t="str">
        <f t="array" ref="G183:J183">XLOOKUP(C183,DimProductos[ID_Producto],DimProductos[[Producto]:[Precio_Lista]])</f>
        <v>Micrófono USB Studio</v>
      </c>
      <c r="H183" s="13" t="s">
        <v>63</v>
      </c>
      <c r="I183" s="14">
        <v>950.0</v>
      </c>
      <c r="J183" s="14">
        <v>1899.0</v>
      </c>
      <c r="K183" s="13">
        <f t="shared" si="1"/>
        <v>1899</v>
      </c>
      <c r="L183" s="13">
        <f t="shared" si="2"/>
        <v>950</v>
      </c>
      <c r="M183" s="15">
        <f>IFS(E183="Tarjeta de Crédito",J183*Instrucciones!$J$2,E183&lt;&gt;"Tarjeta de Crédito",0)</f>
        <v>0</v>
      </c>
      <c r="N183" s="15">
        <f t="shared" si="3"/>
        <v>949</v>
      </c>
      <c r="O183" s="13" t="str">
        <f t="shared" si="4"/>
        <v>Ticket Estandar</v>
      </c>
    </row>
    <row r="184" ht="15.75" customHeight="1">
      <c r="A184" s="9" t="s">
        <v>271</v>
      </c>
      <c r="B184" s="9" t="s">
        <v>263</v>
      </c>
      <c r="C184" s="9" t="s">
        <v>33</v>
      </c>
      <c r="D184" s="9" t="s">
        <v>79</v>
      </c>
      <c r="E184" s="9" t="s">
        <v>73</v>
      </c>
      <c r="F184" s="9">
        <v>1.0</v>
      </c>
      <c r="G184" s="13" t="str">
        <f t="array" ref="G184:J184">XLOOKUP(C184,DimProductos[ID_Producto],DimProductos[[Producto]:[Precio_Lista]])</f>
        <v>Monitor Curvo 27"</v>
      </c>
      <c r="H184" s="13" t="s">
        <v>36</v>
      </c>
      <c r="I184" s="14">
        <v>2800.0</v>
      </c>
      <c r="J184" s="14">
        <v>4999.0</v>
      </c>
      <c r="K184" s="13">
        <f t="shared" si="1"/>
        <v>4999</v>
      </c>
      <c r="L184" s="13">
        <f t="shared" si="2"/>
        <v>2800</v>
      </c>
      <c r="M184" s="15">
        <f>IFS(E184="Tarjeta de Crédito",J184*Instrucciones!$J$2,E184&lt;&gt;"Tarjeta de Crédito",0)</f>
        <v>0</v>
      </c>
      <c r="N184" s="15">
        <f t="shared" si="3"/>
        <v>2199</v>
      </c>
      <c r="O184" s="13" t="str">
        <f t="shared" si="4"/>
        <v>Ticket alto valor</v>
      </c>
    </row>
    <row r="185" ht="15.75" customHeight="1">
      <c r="A185" s="9" t="s">
        <v>272</v>
      </c>
      <c r="B185" s="9" t="s">
        <v>263</v>
      </c>
      <c r="C185" s="9" t="s">
        <v>59</v>
      </c>
      <c r="D185" s="9" t="s">
        <v>69</v>
      </c>
      <c r="E185" s="9" t="s">
        <v>73</v>
      </c>
      <c r="F185" s="9">
        <v>2.0</v>
      </c>
      <c r="G185" s="13" t="str">
        <f t="array" ref="G185:J185">XLOOKUP(C185,DimProductos[ID_Producto],DimProductos[[Producto]:[Precio_Lista]])</f>
        <v>Laptop Ultrabook 14"</v>
      </c>
      <c r="H185" s="13" t="s">
        <v>56</v>
      </c>
      <c r="I185" s="14">
        <v>11200.0</v>
      </c>
      <c r="J185" s="14">
        <v>17999.0</v>
      </c>
      <c r="K185" s="13">
        <f t="shared" si="1"/>
        <v>35998</v>
      </c>
      <c r="L185" s="13">
        <f t="shared" si="2"/>
        <v>22400</v>
      </c>
      <c r="M185" s="15">
        <f>IFS(E185="Tarjeta de Crédito",J185*Instrucciones!$J$2,E185&lt;&gt;"Tarjeta de Crédito",0)</f>
        <v>0</v>
      </c>
      <c r="N185" s="15">
        <f t="shared" si="3"/>
        <v>13598</v>
      </c>
      <c r="O185" s="13" t="str">
        <f t="shared" si="4"/>
        <v>Ticket alto valor</v>
      </c>
    </row>
    <row r="186" ht="15.75" customHeight="1">
      <c r="A186" s="9" t="s">
        <v>273</v>
      </c>
      <c r="B186" s="9" t="s">
        <v>274</v>
      </c>
      <c r="C186" s="9" t="s">
        <v>52</v>
      </c>
      <c r="D186" s="9" t="s">
        <v>79</v>
      </c>
      <c r="E186" s="9" t="s">
        <v>77</v>
      </c>
      <c r="F186" s="9">
        <v>1.0</v>
      </c>
      <c r="G186" s="13" t="str">
        <f t="array" ref="G186:J186">XLOOKUP(C186,DimProductos[ID_Producto],DimProductos[[Producto]:[Precio_Lista]])</f>
        <v>Laptop Gamer 16GB</v>
      </c>
      <c r="H186" s="13" t="s">
        <v>56</v>
      </c>
      <c r="I186" s="14">
        <v>14500.0</v>
      </c>
      <c r="J186" s="14">
        <v>22499.0</v>
      </c>
      <c r="K186" s="13">
        <f t="shared" si="1"/>
        <v>22499</v>
      </c>
      <c r="L186" s="13">
        <f t="shared" si="2"/>
        <v>14500</v>
      </c>
      <c r="M186" s="15">
        <f>IFS(E186="Tarjeta de Crédito",J186*Instrucciones!$J$2,E186&lt;&gt;"Tarjeta de Crédito",0)</f>
        <v>787.465</v>
      </c>
      <c r="N186" s="15">
        <f t="shared" si="3"/>
        <v>7211.535</v>
      </c>
      <c r="O186" s="13" t="str">
        <f t="shared" si="4"/>
        <v>Ticket alto valor</v>
      </c>
    </row>
    <row r="187" ht="15.75" customHeight="1">
      <c r="A187" s="9" t="s">
        <v>275</v>
      </c>
      <c r="B187" s="9" t="s">
        <v>274</v>
      </c>
      <c r="C187" s="9" t="s">
        <v>55</v>
      </c>
      <c r="D187" s="9" t="s">
        <v>79</v>
      </c>
      <c r="E187" s="9" t="s">
        <v>73</v>
      </c>
      <c r="F187" s="9">
        <v>1.0</v>
      </c>
      <c r="G187" s="13" t="str">
        <f t="array" ref="G187:J187">XLOOKUP(C187,DimProductos[ID_Producto],DimProductos[[Producto]:[Precio_Lista]])</f>
        <v>Micrófono USB Studio</v>
      </c>
      <c r="H187" s="13" t="s">
        <v>63</v>
      </c>
      <c r="I187" s="14">
        <v>950.0</v>
      </c>
      <c r="J187" s="14">
        <v>1899.0</v>
      </c>
      <c r="K187" s="13">
        <f t="shared" si="1"/>
        <v>1899</v>
      </c>
      <c r="L187" s="13">
        <f t="shared" si="2"/>
        <v>950</v>
      </c>
      <c r="M187" s="15">
        <f>IFS(E187="Tarjeta de Crédito",J187*Instrucciones!$J$2,E187&lt;&gt;"Tarjeta de Crédito",0)</f>
        <v>0</v>
      </c>
      <c r="N187" s="15">
        <f t="shared" si="3"/>
        <v>949</v>
      </c>
      <c r="O187" s="13" t="str">
        <f t="shared" si="4"/>
        <v>Ticket Estandar</v>
      </c>
    </row>
    <row r="188" ht="15.75" customHeight="1">
      <c r="A188" s="9" t="s">
        <v>276</v>
      </c>
      <c r="B188" s="9" t="s">
        <v>274</v>
      </c>
      <c r="C188" s="9" t="s">
        <v>61</v>
      </c>
      <c r="D188" s="9" t="s">
        <v>57</v>
      </c>
      <c r="E188" s="9" t="s">
        <v>70</v>
      </c>
      <c r="F188" s="9">
        <v>1.0</v>
      </c>
      <c r="G188" s="13" t="str">
        <f t="array" ref="G188:J188">XLOOKUP(C188,DimProductos[ID_Producto],DimProductos[[Producto]:[Precio_Lista]])</f>
        <v>Auriculares Noise Cancelling</v>
      </c>
      <c r="H188" s="13" t="s">
        <v>63</v>
      </c>
      <c r="I188" s="14">
        <v>1600.0</v>
      </c>
      <c r="J188" s="14">
        <v>3199.0</v>
      </c>
      <c r="K188" s="13">
        <f t="shared" si="1"/>
        <v>3199</v>
      </c>
      <c r="L188" s="13">
        <f t="shared" si="2"/>
        <v>1600</v>
      </c>
      <c r="M188" s="15">
        <f>IFS(E188="Tarjeta de Crédito",J188*Instrucciones!$J$2,E188&lt;&gt;"Tarjeta de Crédito",0)</f>
        <v>0</v>
      </c>
      <c r="N188" s="15">
        <f t="shared" si="3"/>
        <v>1599</v>
      </c>
      <c r="O188" s="13" t="str">
        <f t="shared" si="4"/>
        <v>Ticket alto valor</v>
      </c>
    </row>
    <row r="189" ht="15.75" customHeight="1">
      <c r="A189" s="9" t="s">
        <v>277</v>
      </c>
      <c r="B189" s="9" t="s">
        <v>274</v>
      </c>
      <c r="C189" s="9" t="s">
        <v>52</v>
      </c>
      <c r="D189" s="9" t="s">
        <v>57</v>
      </c>
      <c r="E189" s="9" t="s">
        <v>58</v>
      </c>
      <c r="F189" s="9">
        <v>1.0</v>
      </c>
      <c r="G189" s="13" t="str">
        <f t="array" ref="G189:J189">XLOOKUP(C189,DimProductos[ID_Producto],DimProductos[[Producto]:[Precio_Lista]])</f>
        <v>Laptop Gamer 16GB</v>
      </c>
      <c r="H189" s="13" t="s">
        <v>56</v>
      </c>
      <c r="I189" s="14">
        <v>14500.0</v>
      </c>
      <c r="J189" s="14">
        <v>22499.0</v>
      </c>
      <c r="K189" s="13">
        <f t="shared" si="1"/>
        <v>22499</v>
      </c>
      <c r="L189" s="13">
        <f t="shared" si="2"/>
        <v>14500</v>
      </c>
      <c r="M189" s="15">
        <f>IFS(E189="Tarjeta de Crédito",J189*Instrucciones!$J$2,E189&lt;&gt;"Tarjeta de Crédito",0)</f>
        <v>0</v>
      </c>
      <c r="N189" s="15">
        <f t="shared" si="3"/>
        <v>7999</v>
      </c>
      <c r="O189" s="13" t="str">
        <f t="shared" si="4"/>
        <v>Ticket alto valor</v>
      </c>
    </row>
    <row r="190" ht="15.75" customHeight="1">
      <c r="A190" s="9" t="s">
        <v>278</v>
      </c>
      <c r="B190" s="9" t="s">
        <v>274</v>
      </c>
      <c r="C190" s="9" t="s">
        <v>61</v>
      </c>
      <c r="D190" s="9" t="s">
        <v>79</v>
      </c>
      <c r="E190" s="9" t="s">
        <v>77</v>
      </c>
      <c r="F190" s="9">
        <v>2.0</v>
      </c>
      <c r="G190" s="13" t="str">
        <f t="array" ref="G190:J190">XLOOKUP(C190,DimProductos[ID_Producto],DimProductos[[Producto]:[Precio_Lista]])</f>
        <v>Auriculares Noise Cancelling</v>
      </c>
      <c r="H190" s="13" t="s">
        <v>63</v>
      </c>
      <c r="I190" s="14">
        <v>1600.0</v>
      </c>
      <c r="J190" s="14">
        <v>3199.0</v>
      </c>
      <c r="K190" s="13">
        <f t="shared" si="1"/>
        <v>6398</v>
      </c>
      <c r="L190" s="13">
        <f t="shared" si="2"/>
        <v>3200</v>
      </c>
      <c r="M190" s="15">
        <f>IFS(E190="Tarjeta de Crédito",J190*Instrucciones!$J$2,E190&lt;&gt;"Tarjeta de Crédito",0)</f>
        <v>111.965</v>
      </c>
      <c r="N190" s="15">
        <f t="shared" si="3"/>
        <v>3086.035</v>
      </c>
      <c r="O190" s="13" t="str">
        <f t="shared" si="4"/>
        <v>Ticket alto valor</v>
      </c>
    </row>
    <row r="191" ht="15.75" customHeight="1">
      <c r="A191" s="9" t="s">
        <v>279</v>
      </c>
      <c r="B191" s="9" t="s">
        <v>274</v>
      </c>
      <c r="C191" s="9" t="s">
        <v>59</v>
      </c>
      <c r="D191" s="9" t="s">
        <v>69</v>
      </c>
      <c r="E191" s="9" t="s">
        <v>73</v>
      </c>
      <c r="F191" s="9">
        <v>2.0</v>
      </c>
      <c r="G191" s="13" t="str">
        <f t="array" ref="G191:J191">XLOOKUP(C191,DimProductos[ID_Producto],DimProductos[[Producto]:[Precio_Lista]])</f>
        <v>Laptop Ultrabook 14"</v>
      </c>
      <c r="H191" s="13" t="s">
        <v>56</v>
      </c>
      <c r="I191" s="14">
        <v>11200.0</v>
      </c>
      <c r="J191" s="14">
        <v>17999.0</v>
      </c>
      <c r="K191" s="13">
        <f t="shared" si="1"/>
        <v>35998</v>
      </c>
      <c r="L191" s="13">
        <f t="shared" si="2"/>
        <v>22400</v>
      </c>
      <c r="M191" s="15">
        <f>IFS(E191="Tarjeta de Crédito",J191*Instrucciones!$J$2,E191&lt;&gt;"Tarjeta de Crédito",0)</f>
        <v>0</v>
      </c>
      <c r="N191" s="15">
        <f t="shared" si="3"/>
        <v>13598</v>
      </c>
      <c r="O191" s="13" t="str">
        <f t="shared" si="4"/>
        <v>Ticket alto valor</v>
      </c>
    </row>
    <row r="192" ht="15.75" customHeight="1">
      <c r="A192" s="9" t="s">
        <v>280</v>
      </c>
      <c r="B192" s="9" t="s">
        <v>274</v>
      </c>
      <c r="C192" s="9" t="s">
        <v>65</v>
      </c>
      <c r="D192" s="9" t="s">
        <v>79</v>
      </c>
      <c r="E192" s="9" t="s">
        <v>70</v>
      </c>
      <c r="F192" s="9">
        <v>1.0</v>
      </c>
      <c r="G192" s="13" t="str">
        <f t="array" ref="G192:J192">XLOOKUP(C192,DimProductos[ID_Producto],DimProductos[[Producto]:[Precio_Lista]])</f>
        <v>Silla Ergonómica Pro</v>
      </c>
      <c r="H192" s="13" t="s">
        <v>67</v>
      </c>
      <c r="I192" s="14">
        <v>3200.0</v>
      </c>
      <c r="J192" s="14">
        <v>5699.0</v>
      </c>
      <c r="K192" s="13">
        <f t="shared" si="1"/>
        <v>5699</v>
      </c>
      <c r="L192" s="13">
        <f t="shared" si="2"/>
        <v>3200</v>
      </c>
      <c r="M192" s="15">
        <f>IFS(E192="Tarjeta de Crédito",J192*Instrucciones!$J$2,E192&lt;&gt;"Tarjeta de Crédito",0)</f>
        <v>0</v>
      </c>
      <c r="N192" s="15">
        <f t="shared" si="3"/>
        <v>2499</v>
      </c>
      <c r="O192" s="13" t="str">
        <f t="shared" si="4"/>
        <v>Ticket alto valor</v>
      </c>
    </row>
    <row r="193" ht="15.75" customHeight="1">
      <c r="A193" s="9" t="s">
        <v>281</v>
      </c>
      <c r="B193" s="9" t="s">
        <v>274</v>
      </c>
      <c r="C193" s="9" t="s">
        <v>40</v>
      </c>
      <c r="D193" s="9" t="s">
        <v>57</v>
      </c>
      <c r="E193" s="9" t="s">
        <v>73</v>
      </c>
      <c r="F193" s="9">
        <v>1.0</v>
      </c>
      <c r="G193" s="13" t="str">
        <f t="array" ref="G193:J193">XLOOKUP(C193,DimProductos[ID_Producto],DimProductos[[Producto]:[Precio_Lista]])</f>
        <v>Teclado Mecánico RGB</v>
      </c>
      <c r="H193" s="13" t="s">
        <v>43</v>
      </c>
      <c r="I193" s="14">
        <v>650.0</v>
      </c>
      <c r="J193" s="14">
        <v>1350.0</v>
      </c>
      <c r="K193" s="13">
        <f t="shared" si="1"/>
        <v>1350</v>
      </c>
      <c r="L193" s="13">
        <f t="shared" si="2"/>
        <v>650</v>
      </c>
      <c r="M193" s="15">
        <f>IFS(E193="Tarjeta de Crédito",J193*Instrucciones!$J$2,E193&lt;&gt;"Tarjeta de Crédito",0)</f>
        <v>0</v>
      </c>
      <c r="N193" s="15">
        <f t="shared" si="3"/>
        <v>700</v>
      </c>
      <c r="O193" s="13" t="str">
        <f t="shared" si="4"/>
        <v>Ticket Estandar</v>
      </c>
    </row>
    <row r="194" ht="15.75" customHeight="1">
      <c r="A194" s="9" t="s">
        <v>282</v>
      </c>
      <c r="B194" s="9" t="s">
        <v>274</v>
      </c>
      <c r="C194" s="9" t="s">
        <v>40</v>
      </c>
      <c r="D194" s="9" t="s">
        <v>79</v>
      </c>
      <c r="E194" s="9" t="s">
        <v>73</v>
      </c>
      <c r="F194" s="9">
        <v>2.0</v>
      </c>
      <c r="G194" s="13" t="str">
        <f t="array" ref="G194:J194">XLOOKUP(C194,DimProductos[ID_Producto],DimProductos[[Producto]:[Precio_Lista]])</f>
        <v>Teclado Mecánico RGB</v>
      </c>
      <c r="H194" s="13" t="s">
        <v>43</v>
      </c>
      <c r="I194" s="14">
        <v>650.0</v>
      </c>
      <c r="J194" s="14">
        <v>1350.0</v>
      </c>
      <c r="K194" s="13">
        <f t="shared" si="1"/>
        <v>2700</v>
      </c>
      <c r="L194" s="13">
        <f t="shared" si="2"/>
        <v>1300</v>
      </c>
      <c r="M194" s="15">
        <f>IFS(E194="Tarjeta de Crédito",J194*Instrucciones!$J$2,E194&lt;&gt;"Tarjeta de Crédito",0)</f>
        <v>0</v>
      </c>
      <c r="N194" s="15">
        <f t="shared" si="3"/>
        <v>1400</v>
      </c>
      <c r="O194" s="13" t="str">
        <f t="shared" si="4"/>
        <v>Ticket Estandar</v>
      </c>
    </row>
    <row r="195" ht="15.75" customHeight="1">
      <c r="A195" s="9" t="s">
        <v>283</v>
      </c>
      <c r="B195" s="9" t="s">
        <v>274</v>
      </c>
      <c r="C195" s="9" t="s">
        <v>61</v>
      </c>
      <c r="D195" s="9" t="s">
        <v>69</v>
      </c>
      <c r="E195" s="9" t="s">
        <v>77</v>
      </c>
      <c r="F195" s="9">
        <v>3.0</v>
      </c>
      <c r="G195" s="13" t="str">
        <f t="array" ref="G195:J195">XLOOKUP(C195,DimProductos[ID_Producto],DimProductos[[Producto]:[Precio_Lista]])</f>
        <v>Auriculares Noise Cancelling</v>
      </c>
      <c r="H195" s="13" t="s">
        <v>63</v>
      </c>
      <c r="I195" s="14">
        <v>1600.0</v>
      </c>
      <c r="J195" s="14">
        <v>3199.0</v>
      </c>
      <c r="K195" s="13">
        <f t="shared" si="1"/>
        <v>9597</v>
      </c>
      <c r="L195" s="13">
        <f t="shared" si="2"/>
        <v>4800</v>
      </c>
      <c r="M195" s="15">
        <f>IFS(E195="Tarjeta de Crédito",J195*Instrucciones!$J$2,E195&lt;&gt;"Tarjeta de Crédito",0)</f>
        <v>111.965</v>
      </c>
      <c r="N195" s="15">
        <f t="shared" si="3"/>
        <v>4685.035</v>
      </c>
      <c r="O195" s="13" t="str">
        <f t="shared" si="4"/>
        <v>Ticket alto valor</v>
      </c>
    </row>
    <row r="196" ht="15.75" customHeight="1">
      <c r="A196" s="9" t="s">
        <v>284</v>
      </c>
      <c r="B196" s="9" t="s">
        <v>274</v>
      </c>
      <c r="C196" s="9" t="s">
        <v>55</v>
      </c>
      <c r="D196" s="9" t="s">
        <v>79</v>
      </c>
      <c r="E196" s="9" t="s">
        <v>58</v>
      </c>
      <c r="F196" s="9">
        <v>1.0</v>
      </c>
      <c r="G196" s="13" t="str">
        <f t="array" ref="G196:J196">XLOOKUP(C196,DimProductos[ID_Producto],DimProductos[[Producto]:[Precio_Lista]])</f>
        <v>Micrófono USB Studio</v>
      </c>
      <c r="H196" s="13" t="s">
        <v>63</v>
      </c>
      <c r="I196" s="14">
        <v>950.0</v>
      </c>
      <c r="J196" s="14">
        <v>1899.0</v>
      </c>
      <c r="K196" s="13">
        <f t="shared" si="1"/>
        <v>1899</v>
      </c>
      <c r="L196" s="13">
        <f t="shared" si="2"/>
        <v>950</v>
      </c>
      <c r="M196" s="15">
        <f>IFS(E196="Tarjeta de Crédito",J196*Instrucciones!$J$2,E196&lt;&gt;"Tarjeta de Crédito",0)</f>
        <v>0</v>
      </c>
      <c r="N196" s="15">
        <f t="shared" si="3"/>
        <v>949</v>
      </c>
      <c r="O196" s="13" t="str">
        <f t="shared" si="4"/>
        <v>Ticket Estandar</v>
      </c>
    </row>
    <row r="197" ht="15.75" customHeight="1">
      <c r="A197" s="9" t="s">
        <v>285</v>
      </c>
      <c r="B197" s="9" t="s">
        <v>274</v>
      </c>
      <c r="C197" s="9" t="s">
        <v>65</v>
      </c>
      <c r="D197" s="9" t="s">
        <v>72</v>
      </c>
      <c r="E197" s="9" t="s">
        <v>73</v>
      </c>
      <c r="F197" s="9">
        <v>1.0</v>
      </c>
      <c r="G197" s="13" t="str">
        <f t="array" ref="G197:J197">XLOOKUP(C197,DimProductos[ID_Producto],DimProductos[[Producto]:[Precio_Lista]])</f>
        <v>Silla Ergonómica Pro</v>
      </c>
      <c r="H197" s="13" t="s">
        <v>67</v>
      </c>
      <c r="I197" s="14">
        <v>3200.0</v>
      </c>
      <c r="J197" s="14">
        <v>5699.0</v>
      </c>
      <c r="K197" s="13">
        <f t="shared" si="1"/>
        <v>5699</v>
      </c>
      <c r="L197" s="13">
        <f t="shared" si="2"/>
        <v>3200</v>
      </c>
      <c r="M197" s="15">
        <f>IFS(E197="Tarjeta de Crédito",J197*Instrucciones!$J$2,E197&lt;&gt;"Tarjeta de Crédito",0)</f>
        <v>0</v>
      </c>
      <c r="N197" s="15">
        <f t="shared" si="3"/>
        <v>2499</v>
      </c>
      <c r="O197" s="13" t="str">
        <f t="shared" si="4"/>
        <v>Ticket alto valor</v>
      </c>
    </row>
    <row r="198" ht="15.75" customHeight="1">
      <c r="A198" s="9" t="s">
        <v>286</v>
      </c>
      <c r="B198" s="9" t="s">
        <v>274</v>
      </c>
      <c r="C198" s="9" t="s">
        <v>59</v>
      </c>
      <c r="D198" s="9" t="s">
        <v>79</v>
      </c>
      <c r="E198" s="9" t="s">
        <v>58</v>
      </c>
      <c r="F198" s="9">
        <v>2.0</v>
      </c>
      <c r="G198" s="13" t="str">
        <f t="array" ref="G198:J198">XLOOKUP(C198,DimProductos[ID_Producto],DimProductos[[Producto]:[Precio_Lista]])</f>
        <v>Laptop Ultrabook 14"</v>
      </c>
      <c r="H198" s="13" t="s">
        <v>56</v>
      </c>
      <c r="I198" s="14">
        <v>11200.0</v>
      </c>
      <c r="J198" s="14">
        <v>17999.0</v>
      </c>
      <c r="K198" s="13">
        <f t="shared" si="1"/>
        <v>35998</v>
      </c>
      <c r="L198" s="13">
        <f t="shared" si="2"/>
        <v>22400</v>
      </c>
      <c r="M198" s="15">
        <f>IFS(E198="Tarjeta de Crédito",J198*Instrucciones!$J$2,E198&lt;&gt;"Tarjeta de Crédito",0)</f>
        <v>0</v>
      </c>
      <c r="N198" s="15">
        <f t="shared" si="3"/>
        <v>13598</v>
      </c>
      <c r="O198" s="13" t="str">
        <f t="shared" si="4"/>
        <v>Ticket alto valor</v>
      </c>
    </row>
    <row r="199" ht="15.75" customHeight="1">
      <c r="A199" s="9" t="s">
        <v>287</v>
      </c>
      <c r="B199" s="9" t="s">
        <v>274</v>
      </c>
      <c r="C199" s="9" t="s">
        <v>55</v>
      </c>
      <c r="D199" s="9" t="s">
        <v>72</v>
      </c>
      <c r="E199" s="9" t="s">
        <v>58</v>
      </c>
      <c r="F199" s="9">
        <v>1.0</v>
      </c>
      <c r="G199" s="13" t="str">
        <f t="array" ref="G199:J199">XLOOKUP(C199,DimProductos[ID_Producto],DimProductos[[Producto]:[Precio_Lista]])</f>
        <v>Micrófono USB Studio</v>
      </c>
      <c r="H199" s="13" t="s">
        <v>63</v>
      </c>
      <c r="I199" s="14">
        <v>950.0</v>
      </c>
      <c r="J199" s="14">
        <v>1899.0</v>
      </c>
      <c r="K199" s="13">
        <f t="shared" si="1"/>
        <v>1899</v>
      </c>
      <c r="L199" s="13">
        <f t="shared" si="2"/>
        <v>950</v>
      </c>
      <c r="M199" s="15">
        <f>IFS(E199="Tarjeta de Crédito",J199*Instrucciones!$J$2,E199&lt;&gt;"Tarjeta de Crédito",0)</f>
        <v>0</v>
      </c>
      <c r="N199" s="15">
        <f t="shared" si="3"/>
        <v>949</v>
      </c>
      <c r="O199" s="13" t="str">
        <f t="shared" si="4"/>
        <v>Ticket Estandar</v>
      </c>
    </row>
    <row r="200" ht="15.75" customHeight="1">
      <c r="A200" s="9" t="s">
        <v>288</v>
      </c>
      <c r="B200" s="9" t="s">
        <v>274</v>
      </c>
      <c r="C200" s="9" t="s">
        <v>52</v>
      </c>
      <c r="D200" s="9" t="s">
        <v>69</v>
      </c>
      <c r="E200" s="9" t="s">
        <v>73</v>
      </c>
      <c r="F200" s="9">
        <v>1.0</v>
      </c>
      <c r="G200" s="13" t="str">
        <f t="array" ref="G200:J200">XLOOKUP(C200,DimProductos[ID_Producto],DimProductos[[Producto]:[Precio_Lista]])</f>
        <v>Laptop Gamer 16GB</v>
      </c>
      <c r="H200" s="13" t="s">
        <v>56</v>
      </c>
      <c r="I200" s="14">
        <v>14500.0</v>
      </c>
      <c r="J200" s="14">
        <v>22499.0</v>
      </c>
      <c r="K200" s="13">
        <f t="shared" si="1"/>
        <v>22499</v>
      </c>
      <c r="L200" s="13">
        <f t="shared" si="2"/>
        <v>14500</v>
      </c>
      <c r="M200" s="15">
        <f>IFS(E200="Tarjeta de Crédito",J200*Instrucciones!$J$2,E200&lt;&gt;"Tarjeta de Crédito",0)</f>
        <v>0</v>
      </c>
      <c r="N200" s="15">
        <f t="shared" si="3"/>
        <v>7999</v>
      </c>
      <c r="O200" s="13" t="str">
        <f t="shared" si="4"/>
        <v>Ticket alto valor</v>
      </c>
    </row>
    <row r="201" ht="15.75" customHeight="1">
      <c r="A201" s="9" t="s">
        <v>289</v>
      </c>
      <c r="B201" s="9" t="s">
        <v>274</v>
      </c>
      <c r="C201" s="9" t="s">
        <v>61</v>
      </c>
      <c r="D201" s="9" t="s">
        <v>72</v>
      </c>
      <c r="E201" s="9" t="s">
        <v>70</v>
      </c>
      <c r="F201" s="9">
        <v>1.0</v>
      </c>
      <c r="G201" s="13" t="str">
        <f t="array" ref="G201:J201">XLOOKUP(C201,DimProductos[ID_Producto],DimProductos[[Producto]:[Precio_Lista]])</f>
        <v>Auriculares Noise Cancelling</v>
      </c>
      <c r="H201" s="13" t="s">
        <v>63</v>
      </c>
      <c r="I201" s="14">
        <v>1600.0</v>
      </c>
      <c r="J201" s="14">
        <v>3199.0</v>
      </c>
      <c r="K201" s="13">
        <f t="shared" si="1"/>
        <v>3199</v>
      </c>
      <c r="L201" s="13">
        <f t="shared" si="2"/>
        <v>1600</v>
      </c>
      <c r="M201" s="15">
        <f>IFS(E201="Tarjeta de Crédito",J201*Instrucciones!$J$2,E201&lt;&gt;"Tarjeta de Crédito",0)</f>
        <v>0</v>
      </c>
      <c r="N201" s="15">
        <f t="shared" si="3"/>
        <v>1599</v>
      </c>
      <c r="O201" s="13" t="str">
        <f t="shared" si="4"/>
        <v>Ticket alto valor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6C2B8FB-2C2A-4D32-83CB-8CF463165E51}" filter="1" showAutoFilter="1">
      <autoFilter ref="$A$1:$O$201"/>
    </customSheetView>
  </customSheetViews>
  <dataValidations>
    <dataValidation type="custom" allowBlank="1" showDropDown="1" sqref="I2:J201 M2:M201">
      <formula1>AND(ISNUMBER(I2),(NOT(OR(NOT(ISERROR(DATEVALUE(I2))), AND(ISNUMBER(I2), LEFT(CELL("format", I2))="D")))))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