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nstrucciones" sheetId="1" state="visible" r:id="rId3"/>
    <sheet name="Datos" sheetId="2" state="visible" r:id="rId4"/>
    <sheet name="Tabla_Marcas" sheetId="3" state="visible" r:id="rId5"/>
    <sheet name="Ejercicios" sheetId="4" state="visible" r:id="rId6"/>
    <sheet name="Solucion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<sst xmlns="http://schemas.openxmlformats.org/spreadsheetml/2006/main" count="349" uniqueCount="68">
  <si>
    <t xml:space="preserve">Práctica de Excel — Semana 1</t>
  </si>
  <si>
    <t xml:space="preserve">Objetivo de la semana: dominar BUSCARV, el equivalente a BUSCARX con INDEX+COINCIDIR, tablas dinámicas, SI y SI.CONJUNTO usando un caso realista de campañas de radio.</t>
  </si>
  <si>
    <t xml:space="preserve">Cómo usar este archivo:</t>
  </si>
  <si>
    <t xml:space="preserve">1. Ve a la hoja 'Datos': ahí están las 30 campañas de ejemplo (como si fueran de W Radio, LOS40, La KeBuena y W Deportes).</t>
  </si>
  <si>
    <t xml:space="preserve">2. Ve a la hoja 'Tabla_Marcas': es tu tabla de referencia (encargado, meta y objetivo de CTR por marca).</t>
  </si>
  <si>
    <t xml:space="preserve">3. Ve a la hoja 'Ejercicios': tiene las mismas 30 filas de Datos, más 6 columnas en amarillo que debes completar tú con fórmulas.</t>
  </si>
  <si>
    <t xml:space="preserve">4. Cuando termines (o si te atoras), revisa la hoja 'Soluciones' para comparar tu fórmula con una que sí funciona.</t>
  </si>
  <si>
    <t xml:space="preserve">Qué hace cada columna amarilla de 'Ejercicios':</t>
  </si>
  <si>
    <t xml:space="preserve">• Encargado (BUSCARV): busca en Tabla_Marcas el nombre del encargado según la Marca de esa fila. Pista: BUSCARV( valor_buscado ; Tabla_Marcas!A:D ; columna_2 ; FALSO )</t>
  </si>
  <si>
    <t xml:space="preserve">• Meta_Mensual_Presupuesto (BUSCARX): en Excel/Google Sheets moderno usarías BUSCARX. Como práctica alternativa (funciona en cualquier versión) usa INDEX + COINCIDIR: INDEX( Tabla_Marcas columna meta ; COINCIDIR( Marca ; Tabla_Marcas columna marca ; 0 ) ). Si tu Excel sí tiene BUSCARX, pruébalo también — el resultado debe ser igual.</t>
  </si>
  <si>
    <t xml:space="preserve">• CTR: es Clics dividido entre Impresiones. Fórmula simple de división, sin buscar nada.</t>
  </si>
  <si>
    <t xml:space="preserve">• Objetivo_CTR (BUSCARV otra vez): repite el ejercicio de BUSCARV pero trayendo el objetivo de CTR de esa marca, para reforzar.</t>
  </si>
  <si>
    <t xml:space="preserve">• Cumplió_Presupuesto (SI): compara Gasto_Real contra Presupuesto_Asignado y devuelve "Sí" o "No".</t>
  </si>
  <si>
    <t xml:space="preserve">• Nivel_Rendimiento (SI.CONJUNTO): clasifica el CTR de la fila contra el Objetivo_CTR de esa marca en "Alto", "Medio" o "Bajo". En español es SI.CONJUNTO; en inglés es IFS.</t>
  </si>
  <si>
    <t xml:space="preserve">Bonus: Tabla dinámica (esto no lleva fórmula, se construye con el mouse)</t>
  </si>
  <si>
    <t xml:space="preserve">1. Selecciona toda la tabla de la hoja 'Datos'.</t>
  </si>
  <si>
    <t xml:space="preserve">2. Insertar → Tabla dinámica.</t>
  </si>
  <si>
    <t xml:space="preserve">3. Arrastra 'Marca' a Filas, 'Presupuesto_Asignado' y 'Gasto_Real' a Valores (suma), y 'Región' a Columnas.</t>
  </si>
  <si>
    <t xml:space="preserve">4. Así verás, de un vistazo, cuánto se gastó por marca y por región — exactamente el tipo de resumen que se pide en un reporte semanal.</t>
  </si>
  <si>
    <t xml:space="preserve">Orden sugerido para esta semana:</t>
  </si>
  <si>
    <t xml:space="preserve">Días 1-2: completa las columnas de BUSCARV, CTR y SI en 'Ejercicios'.</t>
  </si>
  <si>
    <t xml:space="preserve">Días 3-4: completa Meta_Mensual_Presupuesto (BUSCARX/INDEX+COINCIDIR) y Nivel_Rendimiento (SI.CONJUNTO).</t>
  </si>
  <si>
    <t xml:space="preserve">Día 5: construye la tabla dinámica y escribe en 2-3 líneas qué marca/región tuvo el mejor desempeño — esa es la clase de conclusión que vas a presentar en la oficina.</t>
  </si>
  <si>
    <t xml:space="preserve">ID</t>
  </si>
  <si>
    <t xml:space="preserve">Fecha</t>
  </si>
  <si>
    <t xml:space="preserve">Marca</t>
  </si>
  <si>
    <t xml:space="preserve">Campaña</t>
  </si>
  <si>
    <t xml:space="preserve">Presupuesto_Asignado</t>
  </si>
  <si>
    <t xml:space="preserve">Gasto_Real</t>
  </si>
  <si>
    <t xml:space="preserve">Impresiones</t>
  </si>
  <si>
    <t xml:space="preserve">Clics</t>
  </si>
  <si>
    <t xml:space="preserve">Conversiones</t>
  </si>
  <si>
    <t xml:space="preserve">Región</t>
  </si>
  <si>
    <t xml:space="preserve">W Radio</t>
  </si>
  <si>
    <t xml:space="preserve">Noticias Fin de Semana</t>
  </si>
  <si>
    <t xml:space="preserve">CDMX</t>
  </si>
  <si>
    <t xml:space="preserve">LOS40</t>
  </si>
  <si>
    <t xml:space="preserve">Playlist Verano</t>
  </si>
  <si>
    <t xml:space="preserve">Online</t>
  </si>
  <si>
    <t xml:space="preserve">La KeBuena</t>
  </si>
  <si>
    <t xml:space="preserve">Aniversario KeBuena</t>
  </si>
  <si>
    <t xml:space="preserve">W Deportes</t>
  </si>
  <si>
    <t xml:space="preserve">Especial Mundial</t>
  </si>
  <si>
    <t xml:space="preserve">Regreso a Clases</t>
  </si>
  <si>
    <t xml:space="preserve">Fiesta Grande</t>
  </si>
  <si>
    <t xml:space="preserve">Guadalajara</t>
  </si>
  <si>
    <t xml:space="preserve">Podcast Semanal</t>
  </si>
  <si>
    <t xml:space="preserve">Maratón Musical</t>
  </si>
  <si>
    <t xml:space="preserve">Monterrey</t>
  </si>
  <si>
    <t xml:space="preserve">Copa Deportiva</t>
  </si>
  <si>
    <t xml:space="preserve">Verano Informativo</t>
  </si>
  <si>
    <t xml:space="preserve">Promo Regional</t>
  </si>
  <si>
    <t xml:space="preserve">Maratón CDMX</t>
  </si>
  <si>
    <t xml:space="preserve">Concierto LOS40</t>
  </si>
  <si>
    <t xml:space="preserve">Cumbia Fest</t>
  </si>
  <si>
    <t xml:space="preserve">Especial Elecciones</t>
  </si>
  <si>
    <t xml:space="preserve">Encargado</t>
  </si>
  <si>
    <t xml:space="preserve">Meta_Mensual_Presupuesto</t>
  </si>
  <si>
    <t xml:space="preserve">Objetivo_CTR</t>
  </si>
  <si>
    <t xml:space="preserve">Ana Torres</t>
  </si>
  <si>
    <t xml:space="preserve">Carlos Ruiz</t>
  </si>
  <si>
    <t xml:space="preserve">Marta Gómez</t>
  </si>
  <si>
    <t xml:space="preserve">Luis Peña</t>
  </si>
  <si>
    <t xml:space="preserve">CTR</t>
  </si>
  <si>
    <t xml:space="preserve">Cumplió_Presupuesto</t>
  </si>
  <si>
    <t xml:space="preserve">Nivel_Rendimiento</t>
  </si>
  <si>
    <t xml:space="preserve">Amarillo = celdas para completar con tu propia fórmula.</t>
  </si>
  <si>
    <t xml:space="preserve">Estas son fórmulas de referencia. Intenta resolverlo tú primero en la hoja 'Ejercicios' antes de mirar aquí.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</si>
</sst>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\$#,##0"/>
    <numFmt numFmtId="167" formatCode="#,##0"/>
    <numFmt numFmtId="168" formatCode="0.0%"/>
    <numFmt numFmtId="169" formatCode="0.00%"/>
    <numFmt numFmtId="170" formatCode="&quot;VERDADERO&quot;;&quot;VERDADERO&quot;;&quot;FALSO&quot;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4"/>
      <color rgb="FF1F4E78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7F6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e la tabla dinámica" xfId="20"/>
    <cellStyle name="Categoría de la tabla dinámica" xfId="21"/>
    <cellStyle name="Esquina de la tabla dinámica" xfId="22"/>
    <cellStyle name="Resultado de la tabla dinámica" xfId="23"/>
    <cellStyle name="Título de la tabla dinámica" xfId="24"/>
    <cellStyle name="Valor de la tabla dinámica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9"/>
  <sheetViews>
    <sheetView showFormulas="false" showGridLines="false" showRowColHeaders="true" showZeros="true" rightToLeft="false" tabSelected="false" showOutlineSymbols="true" defaultGridColor="true" view="normal" topLeftCell="A6" colorId="64" zoomScale="87" zoomScaleNormal="87" zoomScalePageLayoutView="100" workbookViewId="0">
      <selection pane="topLeft" activeCell="K17" activeCellId="0" sqref="K1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0"/>
  </cols>
  <sheetData>
    <row r="2" customFormat="false" ht="17.35" hidden="false" customHeight="false" outlineLevel="0" collapsed="false">
      <c r="B2" s="2" t="s">
        <v>0</v>
      </c>
    </row>
    <row r="4" customFormat="false" ht="26.85" hidden="false" customHeight="false" outlineLevel="0" collapsed="false">
      <c r="B4" s="3" t="s">
        <v>1</v>
      </c>
    </row>
    <row r="6" customFormat="false" ht="15" hidden="false" customHeight="false" outlineLevel="0" collapsed="false">
      <c r="B6" s="3" t="s">
        <v>2</v>
      </c>
    </row>
    <row r="7" customFormat="false" ht="26.85" hidden="false" customHeight="false" outlineLevel="0" collapsed="false">
      <c r="B7" s="4" t="s">
        <v>3</v>
      </c>
    </row>
    <row r="8" customFormat="false" ht="15" hidden="false" customHeight="false" outlineLevel="0" collapsed="false">
      <c r="B8" s="4" t="s">
        <v>4</v>
      </c>
    </row>
    <row r="9" customFormat="false" ht="26.85" hidden="false" customHeight="false" outlineLevel="0" collapsed="false">
      <c r="B9" s="4" t="s">
        <v>5</v>
      </c>
    </row>
    <row r="10" customFormat="false" ht="26.85" hidden="false" customHeight="false" outlineLevel="0" collapsed="false">
      <c r="B10" s="4" t="s">
        <v>6</v>
      </c>
    </row>
    <row r="12" customFormat="false" ht="15" hidden="false" customHeight="false" outlineLevel="0" collapsed="false">
      <c r="B12" s="3" t="s">
        <v>7</v>
      </c>
    </row>
    <row r="13" customFormat="false" ht="26.85" hidden="false" customHeight="false" outlineLevel="0" collapsed="false">
      <c r="B13" s="4" t="s">
        <v>8</v>
      </c>
    </row>
    <row r="14" customFormat="false" ht="52.2" hidden="false" customHeight="false" outlineLevel="0" collapsed="false">
      <c r="B14" s="4" t="s">
        <v>9</v>
      </c>
    </row>
    <row r="15" customFormat="false" ht="15" hidden="false" customHeight="false" outlineLevel="0" collapsed="false">
      <c r="B15" s="4" t="s">
        <v>10</v>
      </c>
    </row>
    <row r="16" customFormat="false" ht="26.85" hidden="false" customHeight="false" outlineLevel="0" collapsed="false">
      <c r="B16" s="4" t="s">
        <v>11</v>
      </c>
    </row>
    <row r="17" customFormat="false" ht="15" hidden="false" customHeight="false" outlineLevel="0" collapsed="false">
      <c r="B17" s="4" t="s">
        <v>12</v>
      </c>
    </row>
    <row r="18" customFormat="false" ht="26.85" hidden="false" customHeight="false" outlineLevel="0" collapsed="false">
      <c r="B18" s="4" t="s">
        <v>13</v>
      </c>
    </row>
    <row r="20" customFormat="false" ht="15" hidden="false" customHeight="false" outlineLevel="0" collapsed="false">
      <c r="B20" s="3" t="s">
        <v>14</v>
      </c>
    </row>
    <row r="21" customFormat="false" ht="15" hidden="false" customHeight="false" outlineLevel="0" collapsed="false">
      <c r="B21" s="4" t="s">
        <v>15</v>
      </c>
    </row>
    <row r="22" customFormat="false" ht="15" hidden="false" customHeight="false" outlineLevel="0" collapsed="false">
      <c r="B22" s="4" t="s">
        <v>16</v>
      </c>
    </row>
    <row r="23" customFormat="false" ht="26.85" hidden="false" customHeight="false" outlineLevel="0" collapsed="false">
      <c r="B23" s="4" t="s">
        <v>17</v>
      </c>
    </row>
    <row r="24" customFormat="false" ht="26.85" hidden="false" customHeight="false" outlineLevel="0" collapsed="false">
      <c r="B24" s="4" t="s">
        <v>18</v>
      </c>
    </row>
    <row r="26" customFormat="false" ht="15" hidden="false" customHeight="false" outlineLevel="0" collapsed="false">
      <c r="B26" s="3" t="s">
        <v>19</v>
      </c>
    </row>
    <row r="27" customFormat="false" ht="15" hidden="false" customHeight="false" outlineLevel="0" collapsed="false">
      <c r="B27" s="4" t="s">
        <v>20</v>
      </c>
    </row>
    <row r="28" customFormat="false" ht="26.85" hidden="false" customHeight="false" outlineLevel="0" collapsed="false">
      <c r="B28" s="4" t="s">
        <v>21</v>
      </c>
    </row>
    <row r="29" customFormat="false" ht="26.85" hidden="false" customHeight="false" outlineLevel="0" collapsed="false">
      <c r="B29" s="4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false" showRowColHeaders="true" showZeros="true" rightToLeft="false" tabSelected="false" showOutlineSymbols="true" defaultGridColor="true" view="normal" topLeftCell="A1" colorId="64" zoomScale="87" zoomScaleNormal="87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4" min="4" style="1" width="24"/>
    <col collapsed="false" customWidth="true" hidden="false" outlineLevel="0" max="5" min="5" style="1" width="20"/>
    <col collapsed="false" customWidth="true" hidden="false" outlineLevel="0" max="6" min="6" style="1" width="14"/>
    <col collapsed="false" customWidth="true" hidden="false" outlineLevel="0" max="7" min="7" style="1" width="13"/>
    <col collapsed="false" customWidth="true" hidden="false" outlineLevel="0" max="8" min="8" style="1" width="10"/>
    <col collapsed="false" customWidth="true" hidden="false" outlineLevel="0" max="10" min="9" style="1" width="13"/>
  </cols>
  <sheetData>
    <row r="1" customFormat="false" ht="26.85" hidden="false" customHeight="false" outlineLevel="0" collapsed="false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</row>
    <row r="2" customFormat="false" ht="15" hidden="false" customHeight="false" outlineLevel="0" collapsed="false">
      <c r="A2" s="6" t="n">
        <v>1</v>
      </c>
      <c r="B2" s="7" t="n">
        <v>46025</v>
      </c>
      <c r="C2" s="6" t="s">
        <v>33</v>
      </c>
      <c r="D2" s="6" t="s">
        <v>34</v>
      </c>
      <c r="E2" s="8" t="n">
        <v>40000</v>
      </c>
      <c r="F2" s="8" t="n">
        <v>37400</v>
      </c>
      <c r="G2" s="9" t="n">
        <v>133158</v>
      </c>
      <c r="H2" s="9" t="n">
        <v>3418</v>
      </c>
      <c r="I2" s="9" t="n">
        <v>368</v>
      </c>
      <c r="J2" s="6" t="s">
        <v>35</v>
      </c>
    </row>
    <row r="3" customFormat="false" ht="15" hidden="false" customHeight="false" outlineLevel="0" collapsed="false">
      <c r="A3" s="6" t="n">
        <v>2</v>
      </c>
      <c r="B3" s="7" t="n">
        <v>46062</v>
      </c>
      <c r="C3" s="6" t="s">
        <v>36</v>
      </c>
      <c r="D3" s="6" t="s">
        <v>37</v>
      </c>
      <c r="E3" s="8" t="n">
        <v>20000</v>
      </c>
      <c r="F3" s="8" t="n">
        <v>17200</v>
      </c>
      <c r="G3" s="9" t="n">
        <v>174629</v>
      </c>
      <c r="H3" s="9" t="n">
        <v>2372</v>
      </c>
      <c r="I3" s="9" t="n">
        <v>237</v>
      </c>
      <c r="J3" s="6" t="s">
        <v>38</v>
      </c>
    </row>
    <row r="4" customFormat="false" ht="15" hidden="false" customHeight="false" outlineLevel="0" collapsed="false">
      <c r="A4" s="6" t="n">
        <v>3</v>
      </c>
      <c r="B4" s="7" t="n">
        <v>46096</v>
      </c>
      <c r="C4" s="6" t="s">
        <v>39</v>
      </c>
      <c r="D4" s="6" t="s">
        <v>40</v>
      </c>
      <c r="E4" s="8" t="n">
        <v>35000</v>
      </c>
      <c r="F4" s="8" t="n">
        <v>35300</v>
      </c>
      <c r="G4" s="9" t="n">
        <v>205852</v>
      </c>
      <c r="H4" s="9" t="n">
        <v>5645</v>
      </c>
      <c r="I4" s="9" t="n">
        <v>229</v>
      </c>
      <c r="J4" s="6" t="s">
        <v>38</v>
      </c>
    </row>
    <row r="5" customFormat="false" ht="15" hidden="false" customHeight="false" outlineLevel="0" collapsed="false">
      <c r="A5" s="6" t="n">
        <v>4</v>
      </c>
      <c r="B5" s="7" t="n">
        <v>46133</v>
      </c>
      <c r="C5" s="6" t="s">
        <v>41</v>
      </c>
      <c r="D5" s="6" t="s">
        <v>42</v>
      </c>
      <c r="E5" s="8" t="n">
        <v>45000</v>
      </c>
      <c r="F5" s="8" t="n">
        <v>42600</v>
      </c>
      <c r="G5" s="9" t="n">
        <v>172886</v>
      </c>
      <c r="H5" s="9" t="n">
        <v>5354</v>
      </c>
      <c r="I5" s="9" t="n">
        <v>394</v>
      </c>
      <c r="J5" s="6" t="s">
        <v>38</v>
      </c>
    </row>
    <row r="6" customFormat="false" ht="15" hidden="false" customHeight="false" outlineLevel="0" collapsed="false">
      <c r="A6" s="6" t="n">
        <v>5</v>
      </c>
      <c r="B6" s="7" t="n">
        <v>46145</v>
      </c>
      <c r="C6" s="6" t="s">
        <v>33</v>
      </c>
      <c r="D6" s="6" t="s">
        <v>34</v>
      </c>
      <c r="E6" s="8" t="n">
        <v>25000</v>
      </c>
      <c r="F6" s="8" t="n">
        <v>24400</v>
      </c>
      <c r="G6" s="9" t="n">
        <v>240331</v>
      </c>
      <c r="H6" s="9" t="n">
        <v>5404</v>
      </c>
      <c r="I6" s="9" t="n">
        <v>652</v>
      </c>
      <c r="J6" s="6" t="s">
        <v>38</v>
      </c>
    </row>
    <row r="7" customFormat="false" ht="15" hidden="false" customHeight="false" outlineLevel="0" collapsed="false">
      <c r="A7" s="6" t="n">
        <v>6</v>
      </c>
      <c r="B7" s="7" t="n">
        <v>46182</v>
      </c>
      <c r="C7" s="6" t="s">
        <v>36</v>
      </c>
      <c r="D7" s="6" t="s">
        <v>43</v>
      </c>
      <c r="E7" s="8" t="n">
        <v>50000</v>
      </c>
      <c r="F7" s="8" t="n">
        <v>43900</v>
      </c>
      <c r="G7" s="9" t="n">
        <v>213709</v>
      </c>
      <c r="H7" s="9" t="n">
        <v>5963</v>
      </c>
      <c r="I7" s="9" t="n">
        <v>607</v>
      </c>
      <c r="J7" s="6" t="s">
        <v>35</v>
      </c>
    </row>
    <row r="8" customFormat="false" ht="15" hidden="false" customHeight="false" outlineLevel="0" collapsed="false">
      <c r="A8" s="6" t="n">
        <v>7</v>
      </c>
      <c r="B8" s="7" t="n">
        <v>46037</v>
      </c>
      <c r="C8" s="6" t="s">
        <v>39</v>
      </c>
      <c r="D8" s="6" t="s">
        <v>44</v>
      </c>
      <c r="E8" s="8" t="n">
        <v>25000</v>
      </c>
      <c r="F8" s="8" t="n">
        <v>21700</v>
      </c>
      <c r="G8" s="9" t="n">
        <v>179484</v>
      </c>
      <c r="H8" s="9" t="n">
        <v>4765</v>
      </c>
      <c r="I8" s="9" t="n">
        <v>660</v>
      </c>
      <c r="J8" s="6" t="s">
        <v>45</v>
      </c>
    </row>
    <row r="9" customFormat="false" ht="15" hidden="false" customHeight="false" outlineLevel="0" collapsed="false">
      <c r="A9" s="6" t="n">
        <v>8</v>
      </c>
      <c r="B9" s="7" t="n">
        <v>46074</v>
      </c>
      <c r="C9" s="6" t="s">
        <v>41</v>
      </c>
      <c r="D9" s="6" t="s">
        <v>42</v>
      </c>
      <c r="E9" s="8" t="n">
        <v>50000</v>
      </c>
      <c r="F9" s="8" t="n">
        <v>47400</v>
      </c>
      <c r="G9" s="9" t="n">
        <v>393281</v>
      </c>
      <c r="H9" s="9" t="n">
        <v>11019</v>
      </c>
      <c r="I9" s="9" t="n">
        <v>619</v>
      </c>
      <c r="J9" s="6" t="s">
        <v>35</v>
      </c>
    </row>
    <row r="10" customFormat="false" ht="15" hidden="false" customHeight="false" outlineLevel="0" collapsed="false">
      <c r="A10" s="6" t="n">
        <v>9</v>
      </c>
      <c r="B10" s="7" t="n">
        <v>46084</v>
      </c>
      <c r="C10" s="6" t="s">
        <v>33</v>
      </c>
      <c r="D10" s="6" t="s">
        <v>46</v>
      </c>
      <c r="E10" s="8" t="n">
        <v>40000</v>
      </c>
      <c r="F10" s="8" t="n">
        <v>43800</v>
      </c>
      <c r="G10" s="9" t="n">
        <v>418375</v>
      </c>
      <c r="H10" s="9" t="n">
        <v>9853</v>
      </c>
      <c r="I10" s="9" t="n">
        <v>994</v>
      </c>
      <c r="J10" s="6" t="s">
        <v>45</v>
      </c>
    </row>
    <row r="11" customFormat="false" ht="15" hidden="false" customHeight="false" outlineLevel="0" collapsed="false">
      <c r="A11" s="6" t="n">
        <v>10</v>
      </c>
      <c r="B11" s="7" t="n">
        <v>46121</v>
      </c>
      <c r="C11" s="6" t="s">
        <v>36</v>
      </c>
      <c r="D11" s="6" t="s">
        <v>47</v>
      </c>
      <c r="E11" s="8" t="n">
        <v>30000</v>
      </c>
      <c r="F11" s="8" t="n">
        <v>30400</v>
      </c>
      <c r="G11" s="9" t="n">
        <v>201530</v>
      </c>
      <c r="H11" s="9" t="n">
        <v>6398</v>
      </c>
      <c r="I11" s="9" t="n">
        <v>665</v>
      </c>
      <c r="J11" s="6" t="s">
        <v>45</v>
      </c>
    </row>
    <row r="12" customFormat="false" ht="15" hidden="false" customHeight="false" outlineLevel="0" collapsed="false">
      <c r="A12" s="6" t="n">
        <v>11</v>
      </c>
      <c r="B12" s="7" t="n">
        <v>46157</v>
      </c>
      <c r="C12" s="6" t="s">
        <v>39</v>
      </c>
      <c r="D12" s="6" t="s">
        <v>40</v>
      </c>
      <c r="E12" s="8" t="n">
        <v>20000</v>
      </c>
      <c r="F12" s="8" t="n">
        <v>18600</v>
      </c>
      <c r="G12" s="9" t="n">
        <v>76829</v>
      </c>
      <c r="H12" s="9" t="n">
        <v>2099</v>
      </c>
      <c r="I12" s="9" t="n">
        <v>168</v>
      </c>
      <c r="J12" s="6" t="s">
        <v>48</v>
      </c>
    </row>
    <row r="13" customFormat="false" ht="15" hidden="false" customHeight="false" outlineLevel="0" collapsed="false">
      <c r="A13" s="6" t="n">
        <v>12</v>
      </c>
      <c r="B13" s="7" t="n">
        <v>46194</v>
      </c>
      <c r="C13" s="6" t="s">
        <v>41</v>
      </c>
      <c r="D13" s="6" t="s">
        <v>49</v>
      </c>
      <c r="E13" s="8" t="n">
        <v>45000</v>
      </c>
      <c r="F13" s="8" t="n">
        <v>41600</v>
      </c>
      <c r="G13" s="9" t="n">
        <v>321740</v>
      </c>
      <c r="H13" s="9" t="n">
        <v>5628</v>
      </c>
      <c r="I13" s="9" t="n">
        <v>739</v>
      </c>
      <c r="J13" s="6" t="s">
        <v>45</v>
      </c>
    </row>
    <row r="14" customFormat="false" ht="15" hidden="false" customHeight="false" outlineLevel="0" collapsed="false">
      <c r="A14" s="6" t="n">
        <v>13</v>
      </c>
      <c r="B14" s="7" t="n">
        <v>46025</v>
      </c>
      <c r="C14" s="6" t="s">
        <v>33</v>
      </c>
      <c r="D14" s="6" t="s">
        <v>50</v>
      </c>
      <c r="E14" s="8" t="n">
        <v>40000</v>
      </c>
      <c r="F14" s="8" t="n">
        <v>36000</v>
      </c>
      <c r="G14" s="9" t="n">
        <v>450588</v>
      </c>
      <c r="H14" s="9" t="n">
        <v>9675</v>
      </c>
      <c r="I14" s="9" t="n">
        <v>641</v>
      </c>
      <c r="J14" s="6" t="s">
        <v>45</v>
      </c>
    </row>
    <row r="15" customFormat="false" ht="15" hidden="false" customHeight="false" outlineLevel="0" collapsed="false">
      <c r="A15" s="6" t="n">
        <v>14</v>
      </c>
      <c r="B15" s="7" t="n">
        <v>46062</v>
      </c>
      <c r="C15" s="6" t="s">
        <v>36</v>
      </c>
      <c r="D15" s="6" t="s">
        <v>43</v>
      </c>
      <c r="E15" s="8" t="n">
        <v>45000</v>
      </c>
      <c r="F15" s="8" t="n">
        <v>41700</v>
      </c>
      <c r="G15" s="9" t="n">
        <v>132525</v>
      </c>
      <c r="H15" s="9" t="n">
        <v>2680</v>
      </c>
      <c r="I15" s="9" t="n">
        <v>131</v>
      </c>
      <c r="J15" s="6" t="s">
        <v>38</v>
      </c>
    </row>
    <row r="16" customFormat="false" ht="15" hidden="false" customHeight="false" outlineLevel="0" collapsed="false">
      <c r="A16" s="6" t="n">
        <v>15</v>
      </c>
      <c r="B16" s="7" t="n">
        <v>46096</v>
      </c>
      <c r="C16" s="6" t="s">
        <v>39</v>
      </c>
      <c r="D16" s="6" t="s">
        <v>51</v>
      </c>
      <c r="E16" s="8" t="n">
        <v>30000</v>
      </c>
      <c r="F16" s="8" t="n">
        <v>32100</v>
      </c>
      <c r="G16" s="9" t="n">
        <v>475277</v>
      </c>
      <c r="H16" s="9" t="n">
        <v>11564</v>
      </c>
      <c r="I16" s="9" t="n">
        <v>1152</v>
      </c>
      <c r="J16" s="6" t="s">
        <v>35</v>
      </c>
    </row>
    <row r="17" customFormat="false" ht="15" hidden="false" customHeight="false" outlineLevel="0" collapsed="false">
      <c r="A17" s="6" t="n">
        <v>16</v>
      </c>
      <c r="B17" s="7" t="n">
        <v>46133</v>
      </c>
      <c r="C17" s="6" t="s">
        <v>41</v>
      </c>
      <c r="D17" s="6" t="s">
        <v>52</v>
      </c>
      <c r="E17" s="8" t="n">
        <v>60000</v>
      </c>
      <c r="F17" s="8" t="n">
        <v>62100</v>
      </c>
      <c r="G17" s="9" t="n">
        <v>350049</v>
      </c>
      <c r="H17" s="9" t="n">
        <v>10031</v>
      </c>
      <c r="I17" s="9" t="n">
        <v>412</v>
      </c>
      <c r="J17" s="6" t="s">
        <v>38</v>
      </c>
    </row>
    <row r="18" customFormat="false" ht="15" hidden="false" customHeight="false" outlineLevel="0" collapsed="false">
      <c r="A18" s="6" t="n">
        <v>17</v>
      </c>
      <c r="B18" s="7" t="n">
        <v>46145</v>
      </c>
      <c r="C18" s="6" t="s">
        <v>33</v>
      </c>
      <c r="D18" s="6" t="s">
        <v>34</v>
      </c>
      <c r="E18" s="8" t="n">
        <v>45000</v>
      </c>
      <c r="F18" s="8" t="n">
        <v>40000</v>
      </c>
      <c r="G18" s="9" t="n">
        <v>287942</v>
      </c>
      <c r="H18" s="9" t="n">
        <v>3396</v>
      </c>
      <c r="I18" s="9" t="n">
        <v>136</v>
      </c>
      <c r="J18" s="6" t="s">
        <v>48</v>
      </c>
    </row>
    <row r="19" customFormat="false" ht="15" hidden="false" customHeight="false" outlineLevel="0" collapsed="false">
      <c r="A19" s="6" t="n">
        <v>18</v>
      </c>
      <c r="B19" s="7" t="n">
        <v>46182</v>
      </c>
      <c r="C19" s="6" t="s">
        <v>36</v>
      </c>
      <c r="D19" s="6" t="s">
        <v>53</v>
      </c>
      <c r="E19" s="8" t="n">
        <v>25000</v>
      </c>
      <c r="F19" s="8" t="n">
        <v>28900</v>
      </c>
      <c r="G19" s="9" t="n">
        <v>216471</v>
      </c>
      <c r="H19" s="9" t="n">
        <v>6104</v>
      </c>
      <c r="I19" s="9" t="n">
        <v>554</v>
      </c>
      <c r="J19" s="6" t="s">
        <v>45</v>
      </c>
    </row>
    <row r="20" customFormat="false" ht="15" hidden="false" customHeight="false" outlineLevel="0" collapsed="false">
      <c r="A20" s="6" t="n">
        <v>19</v>
      </c>
      <c r="B20" s="7" t="n">
        <v>46037</v>
      </c>
      <c r="C20" s="6" t="s">
        <v>39</v>
      </c>
      <c r="D20" s="6" t="s">
        <v>40</v>
      </c>
      <c r="E20" s="8" t="n">
        <v>45000</v>
      </c>
      <c r="F20" s="8" t="n">
        <v>50300</v>
      </c>
      <c r="G20" s="9" t="n">
        <v>342789</v>
      </c>
      <c r="H20" s="9" t="n">
        <v>10586</v>
      </c>
      <c r="I20" s="9" t="n">
        <v>1399</v>
      </c>
      <c r="J20" s="6" t="s">
        <v>45</v>
      </c>
    </row>
    <row r="21" customFormat="false" ht="15" hidden="false" customHeight="false" outlineLevel="0" collapsed="false">
      <c r="A21" s="6" t="n">
        <v>20</v>
      </c>
      <c r="B21" s="7" t="n">
        <v>46074</v>
      </c>
      <c r="C21" s="6" t="s">
        <v>41</v>
      </c>
      <c r="D21" s="6" t="s">
        <v>49</v>
      </c>
      <c r="E21" s="8" t="n">
        <v>60000</v>
      </c>
      <c r="F21" s="8" t="n">
        <v>51400</v>
      </c>
      <c r="G21" s="9" t="n">
        <v>250306</v>
      </c>
      <c r="H21" s="9" t="n">
        <v>7281</v>
      </c>
      <c r="I21" s="9" t="n">
        <v>896</v>
      </c>
      <c r="J21" s="6" t="s">
        <v>48</v>
      </c>
    </row>
    <row r="22" customFormat="false" ht="15" hidden="false" customHeight="false" outlineLevel="0" collapsed="false">
      <c r="A22" s="6" t="n">
        <v>21</v>
      </c>
      <c r="B22" s="7" t="n">
        <v>46084</v>
      </c>
      <c r="C22" s="6" t="s">
        <v>33</v>
      </c>
      <c r="D22" s="6" t="s">
        <v>46</v>
      </c>
      <c r="E22" s="8" t="n">
        <v>20000</v>
      </c>
      <c r="F22" s="8" t="n">
        <v>18700</v>
      </c>
      <c r="G22" s="9" t="n">
        <v>357458</v>
      </c>
      <c r="H22" s="9" t="n">
        <v>10983</v>
      </c>
      <c r="I22" s="9" t="n">
        <v>533</v>
      </c>
      <c r="J22" s="6" t="s">
        <v>45</v>
      </c>
    </row>
    <row r="23" customFormat="false" ht="15" hidden="false" customHeight="false" outlineLevel="0" collapsed="false">
      <c r="A23" s="6" t="n">
        <v>22</v>
      </c>
      <c r="B23" s="7" t="n">
        <v>46121</v>
      </c>
      <c r="C23" s="6" t="s">
        <v>36</v>
      </c>
      <c r="D23" s="6" t="s">
        <v>43</v>
      </c>
      <c r="E23" s="8" t="n">
        <v>30000</v>
      </c>
      <c r="F23" s="8" t="n">
        <v>26800</v>
      </c>
      <c r="G23" s="9" t="n">
        <v>309184</v>
      </c>
      <c r="H23" s="9" t="n">
        <v>9499</v>
      </c>
      <c r="I23" s="9" t="n">
        <v>536</v>
      </c>
      <c r="J23" s="6" t="s">
        <v>35</v>
      </c>
    </row>
    <row r="24" customFormat="false" ht="15" hidden="false" customHeight="false" outlineLevel="0" collapsed="false">
      <c r="A24" s="6" t="n">
        <v>23</v>
      </c>
      <c r="B24" s="7" t="n">
        <v>46157</v>
      </c>
      <c r="C24" s="6" t="s">
        <v>39</v>
      </c>
      <c r="D24" s="6" t="s">
        <v>54</v>
      </c>
      <c r="E24" s="8" t="n">
        <v>35000</v>
      </c>
      <c r="F24" s="8" t="n">
        <v>38500</v>
      </c>
      <c r="G24" s="9" t="n">
        <v>269186</v>
      </c>
      <c r="H24" s="9" t="n">
        <v>8582</v>
      </c>
      <c r="I24" s="9" t="n">
        <v>901</v>
      </c>
      <c r="J24" s="6" t="s">
        <v>45</v>
      </c>
    </row>
    <row r="25" customFormat="false" ht="15" hidden="false" customHeight="false" outlineLevel="0" collapsed="false">
      <c r="A25" s="6" t="n">
        <v>24</v>
      </c>
      <c r="B25" s="7" t="n">
        <v>46194</v>
      </c>
      <c r="C25" s="6" t="s">
        <v>41</v>
      </c>
      <c r="D25" s="6" t="s">
        <v>52</v>
      </c>
      <c r="E25" s="8" t="n">
        <v>25000</v>
      </c>
      <c r="F25" s="8" t="n">
        <v>23400</v>
      </c>
      <c r="G25" s="9" t="n">
        <v>93568</v>
      </c>
      <c r="H25" s="9" t="n">
        <v>1507</v>
      </c>
      <c r="I25" s="9" t="n">
        <v>148</v>
      </c>
      <c r="J25" s="6" t="s">
        <v>38</v>
      </c>
    </row>
    <row r="26" customFormat="false" ht="15" hidden="false" customHeight="false" outlineLevel="0" collapsed="false">
      <c r="A26" s="6" t="n">
        <v>25</v>
      </c>
      <c r="B26" s="7" t="n">
        <v>46025</v>
      </c>
      <c r="C26" s="6" t="s">
        <v>33</v>
      </c>
      <c r="D26" s="6" t="s">
        <v>55</v>
      </c>
      <c r="E26" s="8" t="n">
        <v>20000</v>
      </c>
      <c r="F26" s="8" t="n">
        <v>17500</v>
      </c>
      <c r="G26" s="9" t="n">
        <v>390879</v>
      </c>
      <c r="H26" s="9" t="n">
        <v>3679</v>
      </c>
      <c r="I26" s="9" t="n">
        <v>171</v>
      </c>
      <c r="J26" s="6" t="s">
        <v>45</v>
      </c>
    </row>
    <row r="27" customFormat="false" ht="15" hidden="false" customHeight="false" outlineLevel="0" collapsed="false">
      <c r="A27" s="6" t="n">
        <v>26</v>
      </c>
      <c r="B27" s="7" t="n">
        <v>46062</v>
      </c>
      <c r="C27" s="6" t="s">
        <v>36</v>
      </c>
      <c r="D27" s="6" t="s">
        <v>37</v>
      </c>
      <c r="E27" s="8" t="n">
        <v>25000</v>
      </c>
      <c r="F27" s="8" t="n">
        <v>25700</v>
      </c>
      <c r="G27" s="9" t="n">
        <v>206002</v>
      </c>
      <c r="H27" s="9" t="n">
        <v>4955</v>
      </c>
      <c r="I27" s="9" t="n">
        <v>304</v>
      </c>
      <c r="J27" s="6" t="s">
        <v>48</v>
      </c>
    </row>
    <row r="28" customFormat="false" ht="15" hidden="false" customHeight="false" outlineLevel="0" collapsed="false">
      <c r="A28" s="6" t="n">
        <v>27</v>
      </c>
      <c r="B28" s="7" t="n">
        <v>46096</v>
      </c>
      <c r="C28" s="6" t="s">
        <v>39</v>
      </c>
      <c r="D28" s="6" t="s">
        <v>40</v>
      </c>
      <c r="E28" s="8" t="n">
        <v>35000</v>
      </c>
      <c r="F28" s="8" t="n">
        <v>39400</v>
      </c>
      <c r="G28" s="9" t="n">
        <v>273416</v>
      </c>
      <c r="H28" s="9" t="n">
        <v>3436</v>
      </c>
      <c r="I28" s="9" t="n">
        <v>170</v>
      </c>
      <c r="J28" s="6" t="s">
        <v>38</v>
      </c>
    </row>
    <row r="29" customFormat="false" ht="15" hidden="false" customHeight="false" outlineLevel="0" collapsed="false">
      <c r="A29" s="6" t="n">
        <v>28</v>
      </c>
      <c r="B29" s="7" t="n">
        <v>46133</v>
      </c>
      <c r="C29" s="6" t="s">
        <v>41</v>
      </c>
      <c r="D29" s="6" t="s">
        <v>52</v>
      </c>
      <c r="E29" s="8" t="n">
        <v>50000</v>
      </c>
      <c r="F29" s="8" t="n">
        <v>49700</v>
      </c>
      <c r="G29" s="9" t="n">
        <v>442245</v>
      </c>
      <c r="H29" s="9" t="n">
        <v>4112</v>
      </c>
      <c r="I29" s="9" t="n">
        <v>433</v>
      </c>
      <c r="J29" s="6" t="s">
        <v>48</v>
      </c>
    </row>
    <row r="30" customFormat="false" ht="15" hidden="false" customHeight="false" outlineLevel="0" collapsed="false">
      <c r="A30" s="6" t="n">
        <v>29</v>
      </c>
      <c r="B30" s="7" t="n">
        <v>46145</v>
      </c>
      <c r="C30" s="6" t="s">
        <v>33</v>
      </c>
      <c r="D30" s="6" t="s">
        <v>34</v>
      </c>
      <c r="E30" s="8" t="n">
        <v>50000</v>
      </c>
      <c r="F30" s="8" t="n">
        <v>55200</v>
      </c>
      <c r="G30" s="9" t="n">
        <v>479741</v>
      </c>
      <c r="H30" s="9" t="n">
        <v>13759</v>
      </c>
      <c r="I30" s="9" t="n">
        <v>892</v>
      </c>
      <c r="J30" s="6" t="s">
        <v>35</v>
      </c>
    </row>
    <row r="31" customFormat="false" ht="15" hidden="false" customHeight="false" outlineLevel="0" collapsed="false">
      <c r="A31" s="6" t="n">
        <v>30</v>
      </c>
      <c r="B31" s="7" t="n">
        <v>46182</v>
      </c>
      <c r="C31" s="6" t="s">
        <v>36</v>
      </c>
      <c r="D31" s="6" t="s">
        <v>47</v>
      </c>
      <c r="E31" s="8" t="n">
        <v>30000</v>
      </c>
      <c r="F31" s="8" t="n">
        <v>29900</v>
      </c>
      <c r="G31" s="9" t="n">
        <v>206037</v>
      </c>
      <c r="H31" s="9" t="n">
        <v>3935</v>
      </c>
      <c r="I31" s="9" t="n">
        <v>501</v>
      </c>
      <c r="J31" s="6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false" showRowColHeaders="true" showZeros="true" rightToLeft="false" tabSelected="false" showOutlineSymbols="true" defaultGridColor="true" view="normal" topLeftCell="A1" colorId="64" zoomScale="87" zoomScaleNormal="87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6"/>
    <col collapsed="false" customWidth="true" hidden="false" outlineLevel="0" max="3" min="3" style="1" width="24"/>
    <col collapsed="false" customWidth="true" hidden="false" outlineLevel="0" max="4" min="4" style="1" width="13"/>
  </cols>
  <sheetData>
    <row r="1" customFormat="false" ht="26.85" hidden="false" customHeight="false" outlineLevel="0" collapsed="false">
      <c r="A1" s="5" t="s">
        <v>25</v>
      </c>
      <c r="B1" s="5" t="s">
        <v>56</v>
      </c>
      <c r="C1" s="5" t="s">
        <v>57</v>
      </c>
      <c r="D1" s="5" t="s">
        <v>58</v>
      </c>
    </row>
    <row r="2" customFormat="false" ht="15" hidden="false" customHeight="false" outlineLevel="0" collapsed="false">
      <c r="A2" s="10" t="s">
        <v>33</v>
      </c>
      <c r="B2" s="10" t="s">
        <v>59</v>
      </c>
      <c r="C2" s="11" t="n">
        <v>150000</v>
      </c>
      <c r="D2" s="12" t="n">
        <v>0.02</v>
      </c>
    </row>
    <row r="3" customFormat="false" ht="15" hidden="false" customHeight="false" outlineLevel="0" collapsed="false">
      <c r="A3" s="10" t="s">
        <v>36</v>
      </c>
      <c r="B3" s="10" t="s">
        <v>60</v>
      </c>
      <c r="C3" s="11" t="n">
        <v>120000</v>
      </c>
      <c r="D3" s="12" t="n">
        <v>0.025</v>
      </c>
    </row>
    <row r="4" customFormat="false" ht="15" hidden="false" customHeight="false" outlineLevel="0" collapsed="false">
      <c r="A4" s="10" t="s">
        <v>39</v>
      </c>
      <c r="B4" s="10" t="s">
        <v>61</v>
      </c>
      <c r="C4" s="11" t="n">
        <v>90000</v>
      </c>
      <c r="D4" s="12" t="n">
        <v>0.018</v>
      </c>
    </row>
    <row r="5" customFormat="false" ht="15" hidden="false" customHeight="false" outlineLevel="0" collapsed="false">
      <c r="A5" s="10" t="s">
        <v>41</v>
      </c>
      <c r="B5" s="10" t="s">
        <v>62</v>
      </c>
      <c r="C5" s="11" t="n">
        <v>100000</v>
      </c>
      <c r="D5" s="12" t="n">
        <v>0.022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"/>
  <sheetViews>
    <sheetView showFormulas="false" showGridLines="false" showRowColHeaders="true" showZeros="true" rightToLeft="false" tabSelected="true" showOutlineSymbols="true" defaultGridColor="true" view="normal" topLeftCell="A1" colorId="64" zoomScale="87" zoomScaleNormal="87" zoomScalePageLayoutView="100" workbookViewId="0">
      <pane xSplit="0" ySplit="1" topLeftCell="A2" activePane="bottomLeft" state="frozen"/>
      <selection pane="topLeft" activeCell="A1" activeCellId="0" sqref="A1"/>
      <selection pane="bottomLeft" activeCell="L2" activeCellId="0" sqref="L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4" min="4" style="1" width="24"/>
    <col collapsed="false" customWidth="true" hidden="false" outlineLevel="0" max="5" min="5" style="1" width="20"/>
    <col collapsed="false" customWidth="true" hidden="false" outlineLevel="0" max="6" min="6" style="1" width="14"/>
    <col collapsed="false" customWidth="true" hidden="false" outlineLevel="0" max="7" min="7" style="1" width="13"/>
    <col collapsed="false" customWidth="true" hidden="false" outlineLevel="0" max="8" min="8" style="1" width="10"/>
    <col collapsed="false" customWidth="true" hidden="false" outlineLevel="0" max="10" min="9" style="1" width="13"/>
    <col collapsed="false" customWidth="true" hidden="false" outlineLevel="0" max="11" min="11" style="1" width="16"/>
    <col collapsed="false" customWidth="true" hidden="false" outlineLevel="0" max="12" min="12" style="1" width="24"/>
    <col collapsed="false" customWidth="true" hidden="false" outlineLevel="0" max="13" min="13" style="1" width="10"/>
    <col collapsed="false" customWidth="true" hidden="false" outlineLevel="0" max="14" min="14" style="1" width="13"/>
    <col collapsed="false" customWidth="true" hidden="false" outlineLevel="0" max="16" min="15" style="1" width="18"/>
  </cols>
  <sheetData>
    <row r="1" customFormat="false" ht="26.85" hidden="false" customHeight="false" outlineLevel="0" collapsed="false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56</v>
      </c>
      <c r="L1" s="5" t="s">
        <v>57</v>
      </c>
      <c r="M1" s="5" t="s">
        <v>63</v>
      </c>
      <c r="N1" s="5" t="s">
        <v>58</v>
      </c>
      <c r="O1" s="5" t="s">
        <v>64</v>
      </c>
      <c r="P1" s="5" t="s">
        <v>65</v>
      </c>
    </row>
    <row r="2" customFormat="false" ht="15" hidden="false" customHeight="false" outlineLevel="0" collapsed="false">
      <c r="A2" s="6" t="n">
        <v>1</v>
      </c>
      <c r="B2" s="7" t="n">
        <v>46025</v>
      </c>
      <c r="C2" s="6" t="s">
        <v>33</v>
      </c>
      <c r="D2" s="6" t="s">
        <v>34</v>
      </c>
      <c r="E2" s="8" t="n">
        <v>40000</v>
      </c>
      <c r="F2" s="8" t="n">
        <v>37400</v>
      </c>
      <c r="G2" s="9" t="n">
        <v>133158</v>
      </c>
      <c r="H2" s="9" t="n">
        <v>3418</v>
      </c>
      <c r="I2" s="9" t="n">
        <v>368</v>
      </c>
      <c r="J2" s="6" t="s">
        <v>35</v>
      </c>
      <c r="K2" s="13" t="str">
        <f aca="false">VLOOKUP(C2,Tabla_Marcas!$A$2:$D$5,2,0)</f>
        <v>Ana Torres</v>
      </c>
      <c r="L2" s="14" t="e">
        <f aca="false">_xlfn.XLOOKUP(Tabla_Marcas!A:A, Instrucciones!C16)</f>
        <v>#VALUE!</v>
      </c>
      <c r="M2" s="15"/>
      <c r="N2" s="15"/>
      <c r="O2" s="16"/>
      <c r="P2" s="13"/>
    </row>
    <row r="3" customFormat="false" ht="15" hidden="false" customHeight="false" outlineLevel="0" collapsed="false">
      <c r="A3" s="6" t="n">
        <v>2</v>
      </c>
      <c r="B3" s="7" t="n">
        <v>46062</v>
      </c>
      <c r="C3" s="6" t="s">
        <v>36</v>
      </c>
      <c r="D3" s="6" t="s">
        <v>37</v>
      </c>
      <c r="E3" s="8" t="n">
        <v>20000</v>
      </c>
      <c r="F3" s="8" t="n">
        <v>17200</v>
      </c>
      <c r="G3" s="9" t="n">
        <v>174629</v>
      </c>
      <c r="H3" s="9" t="n">
        <v>2372</v>
      </c>
      <c r="I3" s="9" t="n">
        <v>237</v>
      </c>
      <c r="J3" s="6" t="s">
        <v>38</v>
      </c>
      <c r="K3" s="13" t="str">
        <f aca="false">VLOOKUP(C3,Tabla_Marcas!$A$2:$D$5,2,0)</f>
        <v>Carlos Ruiz</v>
      </c>
      <c r="L3" s="14"/>
      <c r="M3" s="15"/>
      <c r="N3" s="15"/>
      <c r="O3" s="13"/>
      <c r="P3" s="13"/>
    </row>
    <row r="4" customFormat="false" ht="15" hidden="false" customHeight="false" outlineLevel="0" collapsed="false">
      <c r="A4" s="6" t="n">
        <v>3</v>
      </c>
      <c r="B4" s="7" t="n">
        <v>46096</v>
      </c>
      <c r="C4" s="6" t="s">
        <v>39</v>
      </c>
      <c r="D4" s="6" t="s">
        <v>40</v>
      </c>
      <c r="E4" s="8" t="n">
        <v>35000</v>
      </c>
      <c r="F4" s="8" t="n">
        <v>35300</v>
      </c>
      <c r="G4" s="9" t="n">
        <v>205852</v>
      </c>
      <c r="H4" s="9" t="n">
        <v>5645</v>
      </c>
      <c r="I4" s="9" t="n">
        <v>229</v>
      </c>
      <c r="J4" s="6" t="s">
        <v>38</v>
      </c>
      <c r="K4" s="13" t="str">
        <f aca="false">VLOOKUP(C4,Tabla_Marcas!$A$2:$D$5,2,0)</f>
        <v>Marta Gómez</v>
      </c>
      <c r="L4" s="14"/>
      <c r="M4" s="15"/>
      <c r="N4" s="15"/>
      <c r="O4" s="13"/>
      <c r="P4" s="13"/>
    </row>
    <row r="5" customFormat="false" ht="15" hidden="false" customHeight="false" outlineLevel="0" collapsed="false">
      <c r="A5" s="6" t="n">
        <v>4</v>
      </c>
      <c r="B5" s="7" t="n">
        <v>46133</v>
      </c>
      <c r="C5" s="6" t="s">
        <v>41</v>
      </c>
      <c r="D5" s="6" t="s">
        <v>42</v>
      </c>
      <c r="E5" s="8" t="n">
        <v>45000</v>
      </c>
      <c r="F5" s="8" t="n">
        <v>42600</v>
      </c>
      <c r="G5" s="9" t="n">
        <v>172886</v>
      </c>
      <c r="H5" s="9" t="n">
        <v>5354</v>
      </c>
      <c r="I5" s="9" t="n">
        <v>394</v>
      </c>
      <c r="J5" s="6" t="s">
        <v>38</v>
      </c>
      <c r="K5" s="13" t="str">
        <f aca="false">VLOOKUP(C5,Tabla_Marcas!$A$2:$D$5,2,0)</f>
        <v>Luis Peña</v>
      </c>
      <c r="L5" s="14"/>
      <c r="M5" s="15"/>
      <c r="N5" s="15"/>
      <c r="O5" s="13"/>
      <c r="P5" s="13"/>
    </row>
    <row r="6" customFormat="false" ht="15" hidden="false" customHeight="false" outlineLevel="0" collapsed="false">
      <c r="A6" s="6" t="n">
        <v>5</v>
      </c>
      <c r="B6" s="7" t="n">
        <v>46145</v>
      </c>
      <c r="C6" s="6" t="s">
        <v>33</v>
      </c>
      <c r="D6" s="6" t="s">
        <v>34</v>
      </c>
      <c r="E6" s="8" t="n">
        <v>25000</v>
      </c>
      <c r="F6" s="8" t="n">
        <v>24400</v>
      </c>
      <c r="G6" s="9" t="n">
        <v>240331</v>
      </c>
      <c r="H6" s="9" t="n">
        <v>5404</v>
      </c>
      <c r="I6" s="9" t="n">
        <v>652</v>
      </c>
      <c r="J6" s="6" t="s">
        <v>38</v>
      </c>
      <c r="K6" s="13" t="str">
        <f aca="false">VLOOKUP(C6,Tabla_Marcas!$A$2:$D$5,2,0)</f>
        <v>Ana Torres</v>
      </c>
      <c r="L6" s="14"/>
      <c r="M6" s="15"/>
      <c r="N6" s="15"/>
      <c r="O6" s="13"/>
      <c r="P6" s="13"/>
    </row>
    <row r="7" customFormat="false" ht="15" hidden="false" customHeight="false" outlineLevel="0" collapsed="false">
      <c r="A7" s="6" t="n">
        <v>6</v>
      </c>
      <c r="B7" s="7" t="n">
        <v>46182</v>
      </c>
      <c r="C7" s="6" t="s">
        <v>36</v>
      </c>
      <c r="D7" s="6" t="s">
        <v>43</v>
      </c>
      <c r="E7" s="8" t="n">
        <v>50000</v>
      </c>
      <c r="F7" s="8" t="n">
        <v>43900</v>
      </c>
      <c r="G7" s="9" t="n">
        <v>213709</v>
      </c>
      <c r="H7" s="9" t="n">
        <v>5963</v>
      </c>
      <c r="I7" s="9" t="n">
        <v>607</v>
      </c>
      <c r="J7" s="6" t="s">
        <v>35</v>
      </c>
      <c r="K7" s="13" t="str">
        <f aca="false">VLOOKUP(C7,Tabla_Marcas!$A$2:$D$5,2,0)</f>
        <v>Carlos Ruiz</v>
      </c>
      <c r="L7" s="14"/>
      <c r="M7" s="15"/>
      <c r="N7" s="15"/>
      <c r="O7" s="13"/>
      <c r="P7" s="13"/>
    </row>
    <row r="8" customFormat="false" ht="15" hidden="false" customHeight="false" outlineLevel="0" collapsed="false">
      <c r="A8" s="6" t="n">
        <v>7</v>
      </c>
      <c r="B8" s="7" t="n">
        <v>46037</v>
      </c>
      <c r="C8" s="6" t="s">
        <v>39</v>
      </c>
      <c r="D8" s="6" t="s">
        <v>44</v>
      </c>
      <c r="E8" s="8" t="n">
        <v>25000</v>
      </c>
      <c r="F8" s="8" t="n">
        <v>21700</v>
      </c>
      <c r="G8" s="9" t="n">
        <v>179484</v>
      </c>
      <c r="H8" s="9" t="n">
        <v>4765</v>
      </c>
      <c r="I8" s="9" t="n">
        <v>660</v>
      </c>
      <c r="J8" s="6" t="s">
        <v>45</v>
      </c>
      <c r="K8" s="13" t="str">
        <f aca="false">VLOOKUP(C8,Tabla_Marcas!$A$2:$D$5,2,0)</f>
        <v>Marta Gómez</v>
      </c>
      <c r="L8" s="14"/>
      <c r="M8" s="15"/>
      <c r="N8" s="15"/>
      <c r="O8" s="13"/>
      <c r="P8" s="13"/>
    </row>
    <row r="9" customFormat="false" ht="15" hidden="false" customHeight="false" outlineLevel="0" collapsed="false">
      <c r="A9" s="6" t="n">
        <v>8</v>
      </c>
      <c r="B9" s="7" t="n">
        <v>46074</v>
      </c>
      <c r="C9" s="6" t="s">
        <v>41</v>
      </c>
      <c r="D9" s="6" t="s">
        <v>42</v>
      </c>
      <c r="E9" s="8" t="n">
        <v>50000</v>
      </c>
      <c r="F9" s="8" t="n">
        <v>47400</v>
      </c>
      <c r="G9" s="9" t="n">
        <v>393281</v>
      </c>
      <c r="H9" s="9" t="n">
        <v>11019</v>
      </c>
      <c r="I9" s="9" t="n">
        <v>619</v>
      </c>
      <c r="J9" s="6" t="s">
        <v>35</v>
      </c>
      <c r="K9" s="13" t="str">
        <f aca="false">VLOOKUP(C9,Tabla_Marcas!$A$2:$D$5,2,0)</f>
        <v>Luis Peña</v>
      </c>
      <c r="L9" s="14"/>
      <c r="M9" s="15"/>
      <c r="N9" s="15"/>
      <c r="O9" s="13"/>
      <c r="P9" s="13"/>
    </row>
    <row r="10" customFormat="false" ht="15" hidden="false" customHeight="false" outlineLevel="0" collapsed="false">
      <c r="A10" s="6" t="n">
        <v>9</v>
      </c>
      <c r="B10" s="7" t="n">
        <v>46084</v>
      </c>
      <c r="C10" s="6" t="s">
        <v>33</v>
      </c>
      <c r="D10" s="6" t="s">
        <v>46</v>
      </c>
      <c r="E10" s="8" t="n">
        <v>40000</v>
      </c>
      <c r="F10" s="8" t="n">
        <v>43800</v>
      </c>
      <c r="G10" s="9" t="n">
        <v>418375</v>
      </c>
      <c r="H10" s="9" t="n">
        <v>9853</v>
      </c>
      <c r="I10" s="9" t="n">
        <v>994</v>
      </c>
      <c r="J10" s="6" t="s">
        <v>45</v>
      </c>
      <c r="K10" s="13" t="str">
        <f aca="false">VLOOKUP(C10,Tabla_Marcas!$A$2:$D$5,2,0)</f>
        <v>Ana Torres</v>
      </c>
      <c r="L10" s="14"/>
      <c r="M10" s="15"/>
      <c r="N10" s="15"/>
      <c r="O10" s="13"/>
      <c r="P10" s="13"/>
    </row>
    <row r="11" customFormat="false" ht="15" hidden="false" customHeight="false" outlineLevel="0" collapsed="false">
      <c r="A11" s="6" t="n">
        <v>10</v>
      </c>
      <c r="B11" s="7" t="n">
        <v>46121</v>
      </c>
      <c r="C11" s="6" t="s">
        <v>36</v>
      </c>
      <c r="D11" s="6" t="s">
        <v>47</v>
      </c>
      <c r="E11" s="8" t="n">
        <v>30000</v>
      </c>
      <c r="F11" s="8" t="n">
        <v>30400</v>
      </c>
      <c r="G11" s="9" t="n">
        <v>201530</v>
      </c>
      <c r="H11" s="9" t="n">
        <v>6398</v>
      </c>
      <c r="I11" s="9" t="n">
        <v>665</v>
      </c>
      <c r="J11" s="6" t="s">
        <v>45</v>
      </c>
      <c r="K11" s="13" t="str">
        <f aca="false">VLOOKUP(C11,Tabla_Marcas!$A$2:$D$5,2,0)</f>
        <v>Carlos Ruiz</v>
      </c>
      <c r="L11" s="14"/>
      <c r="M11" s="15"/>
      <c r="N11" s="15"/>
      <c r="O11" s="13"/>
      <c r="P11" s="13"/>
    </row>
    <row r="12" customFormat="false" ht="15" hidden="false" customHeight="false" outlineLevel="0" collapsed="false">
      <c r="A12" s="6" t="n">
        <v>11</v>
      </c>
      <c r="B12" s="7" t="n">
        <v>46157</v>
      </c>
      <c r="C12" s="6" t="s">
        <v>39</v>
      </c>
      <c r="D12" s="6" t="s">
        <v>40</v>
      </c>
      <c r="E12" s="8" t="n">
        <v>20000</v>
      </c>
      <c r="F12" s="8" t="n">
        <v>18600</v>
      </c>
      <c r="G12" s="9" t="n">
        <v>76829</v>
      </c>
      <c r="H12" s="9" t="n">
        <v>2099</v>
      </c>
      <c r="I12" s="9" t="n">
        <v>168</v>
      </c>
      <c r="J12" s="6" t="s">
        <v>48</v>
      </c>
      <c r="K12" s="13" t="str">
        <f aca="false">VLOOKUP(C12,Tabla_Marcas!$A$2:$D$5,2,0)</f>
        <v>Marta Gómez</v>
      </c>
      <c r="L12" s="14"/>
      <c r="M12" s="15"/>
      <c r="N12" s="15"/>
      <c r="O12" s="13"/>
      <c r="P12" s="13"/>
    </row>
    <row r="13" customFormat="false" ht="15" hidden="false" customHeight="false" outlineLevel="0" collapsed="false">
      <c r="A13" s="6" t="n">
        <v>12</v>
      </c>
      <c r="B13" s="7" t="n">
        <v>46194</v>
      </c>
      <c r="C13" s="6" t="s">
        <v>41</v>
      </c>
      <c r="D13" s="6" t="s">
        <v>49</v>
      </c>
      <c r="E13" s="8" t="n">
        <v>45000</v>
      </c>
      <c r="F13" s="8" t="n">
        <v>41600</v>
      </c>
      <c r="G13" s="9" t="n">
        <v>321740</v>
      </c>
      <c r="H13" s="9" t="n">
        <v>5628</v>
      </c>
      <c r="I13" s="9" t="n">
        <v>739</v>
      </c>
      <c r="J13" s="6" t="s">
        <v>45</v>
      </c>
      <c r="K13" s="13" t="str">
        <f aca="false">VLOOKUP(C13,Tabla_Marcas!$A$2:$D$5,2,0)</f>
        <v>Luis Peña</v>
      </c>
      <c r="L13" s="14"/>
      <c r="M13" s="15"/>
      <c r="N13" s="15"/>
      <c r="O13" s="13"/>
      <c r="P13" s="13"/>
    </row>
    <row r="14" customFormat="false" ht="15" hidden="false" customHeight="false" outlineLevel="0" collapsed="false">
      <c r="A14" s="6" t="n">
        <v>13</v>
      </c>
      <c r="B14" s="7" t="n">
        <v>46025</v>
      </c>
      <c r="C14" s="6" t="s">
        <v>33</v>
      </c>
      <c r="D14" s="6" t="s">
        <v>50</v>
      </c>
      <c r="E14" s="8" t="n">
        <v>40000</v>
      </c>
      <c r="F14" s="8" t="n">
        <v>36000</v>
      </c>
      <c r="G14" s="9" t="n">
        <v>450588</v>
      </c>
      <c r="H14" s="9" t="n">
        <v>9675</v>
      </c>
      <c r="I14" s="9" t="n">
        <v>641</v>
      </c>
      <c r="J14" s="6" t="s">
        <v>45</v>
      </c>
      <c r="K14" s="13" t="str">
        <f aca="false">VLOOKUP(C14,Tabla_Marcas!$A$2:$D$5,2,0)</f>
        <v>Ana Torres</v>
      </c>
      <c r="L14" s="14"/>
      <c r="M14" s="15"/>
      <c r="N14" s="15"/>
      <c r="O14" s="13"/>
      <c r="P14" s="13"/>
    </row>
    <row r="15" customFormat="false" ht="15" hidden="false" customHeight="false" outlineLevel="0" collapsed="false">
      <c r="A15" s="6" t="n">
        <v>14</v>
      </c>
      <c r="B15" s="7" t="n">
        <v>46062</v>
      </c>
      <c r="C15" s="6" t="s">
        <v>36</v>
      </c>
      <c r="D15" s="6" t="s">
        <v>43</v>
      </c>
      <c r="E15" s="8" t="n">
        <v>45000</v>
      </c>
      <c r="F15" s="8" t="n">
        <v>41700</v>
      </c>
      <c r="G15" s="9" t="n">
        <v>132525</v>
      </c>
      <c r="H15" s="9" t="n">
        <v>2680</v>
      </c>
      <c r="I15" s="9" t="n">
        <v>131</v>
      </c>
      <c r="J15" s="6" t="s">
        <v>38</v>
      </c>
      <c r="K15" s="13" t="str">
        <f aca="false">VLOOKUP(C15,Tabla_Marcas!$A$2:$D$5,2,0)</f>
        <v>Carlos Ruiz</v>
      </c>
      <c r="L15" s="14"/>
      <c r="M15" s="15"/>
      <c r="N15" s="15"/>
      <c r="O15" s="13"/>
      <c r="P15" s="13"/>
    </row>
    <row r="16" customFormat="false" ht="15" hidden="false" customHeight="false" outlineLevel="0" collapsed="false">
      <c r="A16" s="6" t="n">
        <v>15</v>
      </c>
      <c r="B16" s="7" t="n">
        <v>46096</v>
      </c>
      <c r="C16" s="6" t="s">
        <v>39</v>
      </c>
      <c r="D16" s="6" t="s">
        <v>51</v>
      </c>
      <c r="E16" s="8" t="n">
        <v>30000</v>
      </c>
      <c r="F16" s="8" t="n">
        <v>32100</v>
      </c>
      <c r="G16" s="9" t="n">
        <v>475277</v>
      </c>
      <c r="H16" s="9" t="n">
        <v>11564</v>
      </c>
      <c r="I16" s="9" t="n">
        <v>1152</v>
      </c>
      <c r="J16" s="6" t="s">
        <v>35</v>
      </c>
      <c r="K16" s="13" t="str">
        <f aca="false">VLOOKUP(C16,Tabla_Marcas!$A$2:$D$5,2,0)</f>
        <v>Marta Gómez</v>
      </c>
      <c r="L16" s="14"/>
      <c r="M16" s="15"/>
      <c r="N16" s="15"/>
      <c r="O16" s="13"/>
      <c r="P16" s="13"/>
    </row>
    <row r="17" customFormat="false" ht="15" hidden="false" customHeight="false" outlineLevel="0" collapsed="false">
      <c r="A17" s="6" t="n">
        <v>16</v>
      </c>
      <c r="B17" s="7" t="n">
        <v>46133</v>
      </c>
      <c r="C17" s="6" t="s">
        <v>41</v>
      </c>
      <c r="D17" s="6" t="s">
        <v>52</v>
      </c>
      <c r="E17" s="8" t="n">
        <v>60000</v>
      </c>
      <c r="F17" s="8" t="n">
        <v>62100</v>
      </c>
      <c r="G17" s="9" t="n">
        <v>350049</v>
      </c>
      <c r="H17" s="9" t="n">
        <v>10031</v>
      </c>
      <c r="I17" s="9" t="n">
        <v>412</v>
      </c>
      <c r="J17" s="6" t="s">
        <v>38</v>
      </c>
      <c r="K17" s="13" t="str">
        <f aca="false">VLOOKUP(C17,Tabla_Marcas!$A$2:$D$5,2,0)</f>
        <v>Luis Peña</v>
      </c>
      <c r="L17" s="14"/>
      <c r="M17" s="15"/>
      <c r="N17" s="15"/>
      <c r="O17" s="13"/>
      <c r="P17" s="13"/>
    </row>
    <row r="18" customFormat="false" ht="15" hidden="false" customHeight="false" outlineLevel="0" collapsed="false">
      <c r="A18" s="6" t="n">
        <v>17</v>
      </c>
      <c r="B18" s="7" t="n">
        <v>46145</v>
      </c>
      <c r="C18" s="6" t="s">
        <v>33</v>
      </c>
      <c r="D18" s="6" t="s">
        <v>34</v>
      </c>
      <c r="E18" s="8" t="n">
        <v>45000</v>
      </c>
      <c r="F18" s="8" t="n">
        <v>40000</v>
      </c>
      <c r="G18" s="9" t="n">
        <v>287942</v>
      </c>
      <c r="H18" s="9" t="n">
        <v>3396</v>
      </c>
      <c r="I18" s="9" t="n">
        <v>136</v>
      </c>
      <c r="J18" s="6" t="s">
        <v>48</v>
      </c>
      <c r="K18" s="13" t="str">
        <f aca="false">VLOOKUP(C18,Tabla_Marcas!$A$2:$D$5,2,0)</f>
        <v>Ana Torres</v>
      </c>
      <c r="L18" s="14"/>
      <c r="M18" s="15"/>
      <c r="N18" s="15"/>
      <c r="O18" s="13"/>
      <c r="P18" s="13"/>
    </row>
    <row r="19" customFormat="false" ht="15" hidden="false" customHeight="false" outlineLevel="0" collapsed="false">
      <c r="A19" s="6" t="n">
        <v>18</v>
      </c>
      <c r="B19" s="7" t="n">
        <v>46182</v>
      </c>
      <c r="C19" s="6" t="s">
        <v>36</v>
      </c>
      <c r="D19" s="6" t="s">
        <v>53</v>
      </c>
      <c r="E19" s="8" t="n">
        <v>25000</v>
      </c>
      <c r="F19" s="8" t="n">
        <v>28900</v>
      </c>
      <c r="G19" s="9" t="n">
        <v>216471</v>
      </c>
      <c r="H19" s="9" t="n">
        <v>6104</v>
      </c>
      <c r="I19" s="9" t="n">
        <v>554</v>
      </c>
      <c r="J19" s="6" t="s">
        <v>45</v>
      </c>
      <c r="K19" s="13" t="str">
        <f aca="false">VLOOKUP(C19,Tabla_Marcas!$A$2:$D$5,2,0)</f>
        <v>Carlos Ruiz</v>
      </c>
      <c r="L19" s="14"/>
      <c r="M19" s="15"/>
      <c r="N19" s="15"/>
      <c r="O19" s="13"/>
      <c r="P19" s="13"/>
    </row>
    <row r="20" customFormat="false" ht="15" hidden="false" customHeight="false" outlineLevel="0" collapsed="false">
      <c r="A20" s="6" t="n">
        <v>19</v>
      </c>
      <c r="B20" s="7" t="n">
        <v>46037</v>
      </c>
      <c r="C20" s="6" t="s">
        <v>39</v>
      </c>
      <c r="D20" s="6" t="s">
        <v>40</v>
      </c>
      <c r="E20" s="8" t="n">
        <v>45000</v>
      </c>
      <c r="F20" s="8" t="n">
        <v>50300</v>
      </c>
      <c r="G20" s="9" t="n">
        <v>342789</v>
      </c>
      <c r="H20" s="9" t="n">
        <v>10586</v>
      </c>
      <c r="I20" s="9" t="n">
        <v>1399</v>
      </c>
      <c r="J20" s="6" t="s">
        <v>45</v>
      </c>
      <c r="K20" s="13" t="str">
        <f aca="false">VLOOKUP(C20,Tabla_Marcas!$A$2:$D$5,2,0)</f>
        <v>Marta Gómez</v>
      </c>
      <c r="L20" s="14"/>
      <c r="M20" s="15"/>
      <c r="N20" s="15"/>
      <c r="O20" s="13"/>
      <c r="P20" s="13"/>
    </row>
    <row r="21" customFormat="false" ht="15" hidden="false" customHeight="false" outlineLevel="0" collapsed="false">
      <c r="A21" s="6" t="n">
        <v>20</v>
      </c>
      <c r="B21" s="7" t="n">
        <v>46074</v>
      </c>
      <c r="C21" s="6" t="s">
        <v>41</v>
      </c>
      <c r="D21" s="6" t="s">
        <v>49</v>
      </c>
      <c r="E21" s="8" t="n">
        <v>60000</v>
      </c>
      <c r="F21" s="8" t="n">
        <v>51400</v>
      </c>
      <c r="G21" s="9" t="n">
        <v>250306</v>
      </c>
      <c r="H21" s="9" t="n">
        <v>7281</v>
      </c>
      <c r="I21" s="9" t="n">
        <v>896</v>
      </c>
      <c r="J21" s="6" t="s">
        <v>48</v>
      </c>
      <c r="K21" s="13" t="str">
        <f aca="false">VLOOKUP(C21,Tabla_Marcas!$A$2:$D$5,2,0)</f>
        <v>Luis Peña</v>
      </c>
      <c r="L21" s="14"/>
      <c r="M21" s="15"/>
      <c r="N21" s="15"/>
      <c r="O21" s="13"/>
      <c r="P21" s="13"/>
    </row>
    <row r="22" customFormat="false" ht="15" hidden="false" customHeight="false" outlineLevel="0" collapsed="false">
      <c r="A22" s="6" t="n">
        <v>21</v>
      </c>
      <c r="B22" s="7" t="n">
        <v>46084</v>
      </c>
      <c r="C22" s="6" t="s">
        <v>33</v>
      </c>
      <c r="D22" s="6" t="s">
        <v>46</v>
      </c>
      <c r="E22" s="8" t="n">
        <v>20000</v>
      </c>
      <c r="F22" s="8" t="n">
        <v>18700</v>
      </c>
      <c r="G22" s="9" t="n">
        <v>357458</v>
      </c>
      <c r="H22" s="9" t="n">
        <v>10983</v>
      </c>
      <c r="I22" s="9" t="n">
        <v>533</v>
      </c>
      <c r="J22" s="6" t="s">
        <v>45</v>
      </c>
      <c r="K22" s="13" t="str">
        <f aca="false">VLOOKUP(C22,Tabla_Marcas!$A$2:$D$5,2,0)</f>
        <v>Ana Torres</v>
      </c>
      <c r="L22" s="14"/>
      <c r="M22" s="15"/>
      <c r="N22" s="15"/>
      <c r="O22" s="13"/>
      <c r="P22" s="13"/>
    </row>
    <row r="23" customFormat="false" ht="15" hidden="false" customHeight="false" outlineLevel="0" collapsed="false">
      <c r="A23" s="6" t="n">
        <v>22</v>
      </c>
      <c r="B23" s="7" t="n">
        <v>46121</v>
      </c>
      <c r="C23" s="6" t="s">
        <v>36</v>
      </c>
      <c r="D23" s="6" t="s">
        <v>43</v>
      </c>
      <c r="E23" s="8" t="n">
        <v>30000</v>
      </c>
      <c r="F23" s="8" t="n">
        <v>26800</v>
      </c>
      <c r="G23" s="9" t="n">
        <v>309184</v>
      </c>
      <c r="H23" s="9" t="n">
        <v>9499</v>
      </c>
      <c r="I23" s="9" t="n">
        <v>536</v>
      </c>
      <c r="J23" s="6" t="s">
        <v>35</v>
      </c>
      <c r="K23" s="13" t="str">
        <f aca="false">VLOOKUP(C23,Tabla_Marcas!$A$2:$D$5,2,0)</f>
        <v>Carlos Ruiz</v>
      </c>
      <c r="L23" s="14"/>
      <c r="M23" s="15"/>
      <c r="N23" s="15"/>
      <c r="O23" s="13"/>
      <c r="P23" s="13"/>
    </row>
    <row r="24" customFormat="false" ht="15" hidden="false" customHeight="false" outlineLevel="0" collapsed="false">
      <c r="A24" s="6" t="n">
        <v>23</v>
      </c>
      <c r="B24" s="7" t="n">
        <v>46157</v>
      </c>
      <c r="C24" s="6" t="s">
        <v>39</v>
      </c>
      <c r="D24" s="6" t="s">
        <v>54</v>
      </c>
      <c r="E24" s="8" t="n">
        <v>35000</v>
      </c>
      <c r="F24" s="8" t="n">
        <v>38500</v>
      </c>
      <c r="G24" s="9" t="n">
        <v>269186</v>
      </c>
      <c r="H24" s="9" t="n">
        <v>8582</v>
      </c>
      <c r="I24" s="9" t="n">
        <v>901</v>
      </c>
      <c r="J24" s="6" t="s">
        <v>45</v>
      </c>
      <c r="K24" s="13" t="str">
        <f aca="false">VLOOKUP(C24,Tabla_Marcas!$A$2:$D$5,2,0)</f>
        <v>Marta Gómez</v>
      </c>
      <c r="L24" s="14"/>
      <c r="M24" s="15"/>
      <c r="N24" s="15"/>
      <c r="O24" s="13"/>
      <c r="P24" s="13"/>
    </row>
    <row r="25" customFormat="false" ht="15" hidden="false" customHeight="false" outlineLevel="0" collapsed="false">
      <c r="A25" s="6" t="n">
        <v>24</v>
      </c>
      <c r="B25" s="7" t="n">
        <v>46194</v>
      </c>
      <c r="C25" s="6" t="s">
        <v>41</v>
      </c>
      <c r="D25" s="6" t="s">
        <v>52</v>
      </c>
      <c r="E25" s="8" t="n">
        <v>25000</v>
      </c>
      <c r="F25" s="8" t="n">
        <v>23400</v>
      </c>
      <c r="G25" s="9" t="n">
        <v>93568</v>
      </c>
      <c r="H25" s="9" t="n">
        <v>1507</v>
      </c>
      <c r="I25" s="9" t="n">
        <v>148</v>
      </c>
      <c r="J25" s="6" t="s">
        <v>38</v>
      </c>
      <c r="K25" s="13" t="str">
        <f aca="false">VLOOKUP(C25,Tabla_Marcas!$A$2:$D$5,2,0)</f>
        <v>Luis Peña</v>
      </c>
      <c r="L25" s="14"/>
      <c r="M25" s="15"/>
      <c r="N25" s="15"/>
      <c r="O25" s="13"/>
      <c r="P25" s="13"/>
    </row>
    <row r="26" customFormat="false" ht="15" hidden="false" customHeight="false" outlineLevel="0" collapsed="false">
      <c r="A26" s="6" t="n">
        <v>25</v>
      </c>
      <c r="B26" s="7" t="n">
        <v>46025</v>
      </c>
      <c r="C26" s="6" t="s">
        <v>33</v>
      </c>
      <c r="D26" s="6" t="s">
        <v>55</v>
      </c>
      <c r="E26" s="8" t="n">
        <v>20000</v>
      </c>
      <c r="F26" s="8" t="n">
        <v>17500</v>
      </c>
      <c r="G26" s="9" t="n">
        <v>390879</v>
      </c>
      <c r="H26" s="9" t="n">
        <v>3679</v>
      </c>
      <c r="I26" s="9" t="n">
        <v>171</v>
      </c>
      <c r="J26" s="6" t="s">
        <v>45</v>
      </c>
      <c r="K26" s="13" t="str">
        <f aca="false">VLOOKUP(C26,Tabla_Marcas!$A$2:$D$5,2,0)</f>
        <v>Ana Torres</v>
      </c>
      <c r="L26" s="14"/>
      <c r="M26" s="15"/>
      <c r="N26" s="15"/>
      <c r="O26" s="13"/>
      <c r="P26" s="13"/>
    </row>
    <row r="27" customFormat="false" ht="15" hidden="false" customHeight="false" outlineLevel="0" collapsed="false">
      <c r="A27" s="6" t="n">
        <v>26</v>
      </c>
      <c r="B27" s="7" t="n">
        <v>46062</v>
      </c>
      <c r="C27" s="6" t="s">
        <v>36</v>
      </c>
      <c r="D27" s="6" t="s">
        <v>37</v>
      </c>
      <c r="E27" s="8" t="n">
        <v>25000</v>
      </c>
      <c r="F27" s="8" t="n">
        <v>25700</v>
      </c>
      <c r="G27" s="9" t="n">
        <v>206002</v>
      </c>
      <c r="H27" s="9" t="n">
        <v>4955</v>
      </c>
      <c r="I27" s="9" t="n">
        <v>304</v>
      </c>
      <c r="J27" s="6" t="s">
        <v>48</v>
      </c>
      <c r="K27" s="13" t="str">
        <f aca="false">VLOOKUP(C27,Tabla_Marcas!$A$2:$D$5,2,0)</f>
        <v>Carlos Ruiz</v>
      </c>
      <c r="L27" s="14"/>
      <c r="M27" s="15"/>
      <c r="N27" s="15"/>
      <c r="O27" s="13"/>
      <c r="P27" s="13"/>
    </row>
    <row r="28" customFormat="false" ht="15" hidden="false" customHeight="false" outlineLevel="0" collapsed="false">
      <c r="A28" s="6" t="n">
        <v>27</v>
      </c>
      <c r="B28" s="7" t="n">
        <v>46096</v>
      </c>
      <c r="C28" s="6" t="s">
        <v>39</v>
      </c>
      <c r="D28" s="6" t="s">
        <v>40</v>
      </c>
      <c r="E28" s="8" t="n">
        <v>35000</v>
      </c>
      <c r="F28" s="8" t="n">
        <v>39400</v>
      </c>
      <c r="G28" s="9" t="n">
        <v>273416</v>
      </c>
      <c r="H28" s="9" t="n">
        <v>3436</v>
      </c>
      <c r="I28" s="9" t="n">
        <v>170</v>
      </c>
      <c r="J28" s="6" t="s">
        <v>38</v>
      </c>
      <c r="K28" s="13" t="str">
        <f aca="false">VLOOKUP(C28,Tabla_Marcas!$A$2:$D$5,2,0)</f>
        <v>Marta Gómez</v>
      </c>
      <c r="L28" s="14"/>
      <c r="M28" s="15"/>
      <c r="N28" s="15"/>
      <c r="O28" s="13"/>
      <c r="P28" s="13"/>
    </row>
    <row r="29" customFormat="false" ht="15" hidden="false" customHeight="false" outlineLevel="0" collapsed="false">
      <c r="A29" s="6" t="n">
        <v>28</v>
      </c>
      <c r="B29" s="7" t="n">
        <v>46133</v>
      </c>
      <c r="C29" s="6" t="s">
        <v>41</v>
      </c>
      <c r="D29" s="6" t="s">
        <v>52</v>
      </c>
      <c r="E29" s="8" t="n">
        <v>50000</v>
      </c>
      <c r="F29" s="8" t="n">
        <v>49700</v>
      </c>
      <c r="G29" s="9" t="n">
        <v>442245</v>
      </c>
      <c r="H29" s="9" t="n">
        <v>4112</v>
      </c>
      <c r="I29" s="9" t="n">
        <v>433</v>
      </c>
      <c r="J29" s="6" t="s">
        <v>48</v>
      </c>
      <c r="K29" s="13" t="str">
        <f aca="false">VLOOKUP(C29,Tabla_Marcas!$A$2:$D$5,2,0)</f>
        <v>Luis Peña</v>
      </c>
      <c r="L29" s="14"/>
      <c r="M29" s="15"/>
      <c r="N29" s="15"/>
      <c r="O29" s="13"/>
      <c r="P29" s="13"/>
    </row>
    <row r="30" customFormat="false" ht="15" hidden="false" customHeight="false" outlineLevel="0" collapsed="false">
      <c r="A30" s="6" t="n">
        <v>29</v>
      </c>
      <c r="B30" s="7" t="n">
        <v>46145</v>
      </c>
      <c r="C30" s="6" t="s">
        <v>33</v>
      </c>
      <c r="D30" s="6" t="s">
        <v>34</v>
      </c>
      <c r="E30" s="8" t="n">
        <v>50000</v>
      </c>
      <c r="F30" s="8" t="n">
        <v>55200</v>
      </c>
      <c r="G30" s="9" t="n">
        <v>479741</v>
      </c>
      <c r="H30" s="9" t="n">
        <v>13759</v>
      </c>
      <c r="I30" s="9" t="n">
        <v>892</v>
      </c>
      <c r="J30" s="6" t="s">
        <v>35</v>
      </c>
      <c r="K30" s="13" t="str">
        <f aca="false">VLOOKUP(C30,Tabla_Marcas!$A$2:$D$5,2,0)</f>
        <v>Ana Torres</v>
      </c>
      <c r="L30" s="14"/>
      <c r="M30" s="15"/>
      <c r="N30" s="15"/>
      <c r="O30" s="13"/>
      <c r="P30" s="13"/>
    </row>
    <row r="31" customFormat="false" ht="15" hidden="false" customHeight="false" outlineLevel="0" collapsed="false">
      <c r="A31" s="6" t="n">
        <v>30</v>
      </c>
      <c r="B31" s="7" t="n">
        <v>46182</v>
      </c>
      <c r="C31" s="6" t="s">
        <v>36</v>
      </c>
      <c r="D31" s="6" t="s">
        <v>47</v>
      </c>
      <c r="E31" s="8" t="n">
        <v>30000</v>
      </c>
      <c r="F31" s="8" t="n">
        <v>29900</v>
      </c>
      <c r="G31" s="9" t="n">
        <v>206037</v>
      </c>
      <c r="H31" s="9" t="n">
        <v>3935</v>
      </c>
      <c r="I31" s="9" t="n">
        <v>501</v>
      </c>
      <c r="J31" s="6" t="s">
        <v>38</v>
      </c>
      <c r="K31" s="13" t="str">
        <f aca="false">VLOOKUP(C31,Tabla_Marcas!$A$2:$D$5,2,0)</f>
        <v>Carlos Ruiz</v>
      </c>
      <c r="L31" s="14"/>
      <c r="M31" s="15"/>
      <c r="N31" s="15"/>
      <c r="O31" s="13"/>
      <c r="P31" s="13"/>
    </row>
    <row r="33" customFormat="false" ht="15" hidden="false" customHeight="false" outlineLevel="0" collapsed="false">
      <c r="A33" s="17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"/>
  <sheetViews>
    <sheetView showFormulas="false" showGridLines="false" showRowColHeaders="true" showZeros="true" rightToLeft="false" tabSelected="false" showOutlineSymbols="true" defaultGridColor="true" view="normal" topLeftCell="F1" colorId="64" zoomScale="87" zoomScaleNormal="87" zoomScalePageLayoutView="100" workbookViewId="0">
      <pane xSplit="0" ySplit="1" topLeftCell="A2" activePane="bottomLeft" state="frozen"/>
      <selection pane="topLeft" activeCell="F1" activeCellId="0" sqref="F1"/>
      <selection pane="bottomLeft" activeCell="P2" activeCellId="0" sqref="P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4" min="4" style="1" width="24"/>
    <col collapsed="false" customWidth="true" hidden="false" outlineLevel="0" max="5" min="5" style="1" width="20"/>
    <col collapsed="false" customWidth="true" hidden="false" outlineLevel="0" max="6" min="6" style="1" width="14"/>
    <col collapsed="false" customWidth="true" hidden="false" outlineLevel="0" max="7" min="7" style="1" width="13"/>
    <col collapsed="false" customWidth="true" hidden="false" outlineLevel="0" max="8" min="8" style="1" width="10"/>
    <col collapsed="false" customWidth="true" hidden="false" outlineLevel="0" max="10" min="9" style="1" width="13"/>
    <col collapsed="false" customWidth="true" hidden="false" outlineLevel="0" max="11" min="11" style="1" width="16"/>
    <col collapsed="false" customWidth="true" hidden="false" outlineLevel="0" max="12" min="12" style="1" width="24"/>
    <col collapsed="false" customWidth="true" hidden="false" outlineLevel="0" max="13" min="13" style="1" width="10"/>
    <col collapsed="false" customWidth="true" hidden="false" outlineLevel="0" max="14" min="14" style="1" width="13"/>
    <col collapsed="false" customWidth="true" hidden="false" outlineLevel="0" max="16" min="15" style="1" width="18"/>
  </cols>
  <sheetData>
    <row r="1" customFormat="false" ht="26.85" hidden="false" customHeight="false" outlineLevel="0" collapsed="false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56</v>
      </c>
      <c r="L1" s="5" t="s">
        <v>57</v>
      </c>
      <c r="M1" s="5" t="s">
        <v>63</v>
      </c>
      <c r="N1" s="5" t="s">
        <v>58</v>
      </c>
      <c r="O1" s="5" t="s">
        <v>64</v>
      </c>
      <c r="P1" s="5" t="s">
        <v>65</v>
      </c>
    </row>
    <row r="2" customFormat="false" ht="15" hidden="false" customHeight="false" outlineLevel="0" collapsed="false">
      <c r="A2" s="6" t="n">
        <v>1</v>
      </c>
      <c r="B2" s="7" t="n">
        <v>46025</v>
      </c>
      <c r="C2" s="6" t="s">
        <v>33</v>
      </c>
      <c r="D2" s="6" t="s">
        <v>34</v>
      </c>
      <c r="E2" s="8" t="n">
        <v>40000</v>
      </c>
      <c r="F2" s="8" t="n">
        <v>37400</v>
      </c>
      <c r="G2" s="9" t="n">
        <v>133158</v>
      </c>
      <c r="H2" s="9" t="n">
        <v>3418</v>
      </c>
      <c r="I2" s="9" t="n">
        <v>368</v>
      </c>
      <c r="J2" s="6" t="s">
        <v>35</v>
      </c>
      <c r="K2" s="6" t="str">
        <f aca="false">VLOOKUP(C2,Tabla_Marcas!$A$2:$D$5,2,FALSE())</f>
        <v>Ana Torres</v>
      </c>
      <c r="L2" s="8" t="n">
        <f aca="false">_xlfn.XLOOKUP(C2, Tabla_Marcas!$A$2:$A$5, Tabla_Marcas!$C$2:$C$5)</f>
        <v>150000</v>
      </c>
      <c r="M2" s="18" t="n">
        <f aca="false">H2/G2</f>
        <v>0.0256687544120519</v>
      </c>
      <c r="N2" s="19" t="n">
        <f aca="false">VLOOKUP(C2,Tabla_Marcas!$A$2:$D$5,4,FALSE())</f>
        <v>0.02</v>
      </c>
      <c r="O2" s="6" t="str">
        <f aca="false">IF(F2&lt;=E2,"Sí","No")</f>
        <v>Sí</v>
      </c>
      <c r="P2" s="6" t="str">
        <f aca="false">_xlfn.IFS(M2&gt;=N2*1.2,"Alto",M2&gt;=N2*0.8,"Medio",TRUE(),"Bajo")</f>
        <v>Alto</v>
      </c>
    </row>
    <row r="3" customFormat="false" ht="15" hidden="false" customHeight="false" outlineLevel="0" collapsed="false">
      <c r="A3" s="6" t="n">
        <v>2</v>
      </c>
      <c r="B3" s="7" t="n">
        <v>46062</v>
      </c>
      <c r="C3" s="6" t="s">
        <v>36</v>
      </c>
      <c r="D3" s="6" t="s">
        <v>37</v>
      </c>
      <c r="E3" s="8" t="n">
        <v>20000</v>
      </c>
      <c r="F3" s="8" t="n">
        <v>17200</v>
      </c>
      <c r="G3" s="9" t="n">
        <v>174629</v>
      </c>
      <c r="H3" s="9" t="n">
        <v>2372</v>
      </c>
      <c r="I3" s="9" t="n">
        <v>237</v>
      </c>
      <c r="J3" s="6" t="s">
        <v>38</v>
      </c>
      <c r="K3" s="6" t="str">
        <f aca="false">VLOOKUP(C3,Tabla_Marcas!$A$2:$D$5,2,FALSE())</f>
        <v>Carlos Ruiz</v>
      </c>
      <c r="L3" s="8" t="n">
        <f aca="false">_xlfn.XLOOKUP(C3, Tabla_Marcas!$A$2:$A$5, Tabla_Marcas!$C$2:$C$5)</f>
        <v>120000</v>
      </c>
      <c r="M3" s="18" t="n">
        <f aca="false">H3/G3</f>
        <v>0.0135830818478031</v>
      </c>
      <c r="N3" s="19" t="n">
        <f aca="false">VLOOKUP(C3,Tabla_Marcas!$A$2:$D$5,4,FALSE())</f>
        <v>0.025</v>
      </c>
      <c r="O3" s="6" t="str">
        <f aca="false">IF(F3&lt;=E3,"Sí","No")</f>
        <v>Sí</v>
      </c>
      <c r="P3" s="6" t="str">
        <f aca="false">_xlfn.IFS(M3&gt;=N3*1.2,"Alto",M3&gt;=N3*0.8,"Medio",TRUE(),"Bajo")</f>
        <v>Bajo</v>
      </c>
    </row>
    <row r="4" customFormat="false" ht="15" hidden="false" customHeight="false" outlineLevel="0" collapsed="false">
      <c r="A4" s="6" t="n">
        <v>3</v>
      </c>
      <c r="B4" s="7" t="n">
        <v>46096</v>
      </c>
      <c r="C4" s="6" t="s">
        <v>39</v>
      </c>
      <c r="D4" s="6" t="s">
        <v>40</v>
      </c>
      <c r="E4" s="8" t="n">
        <v>35000</v>
      </c>
      <c r="F4" s="8" t="n">
        <v>35300</v>
      </c>
      <c r="G4" s="9" t="n">
        <v>205852</v>
      </c>
      <c r="H4" s="9" t="n">
        <v>5645</v>
      </c>
      <c r="I4" s="9" t="n">
        <v>229</v>
      </c>
      <c r="J4" s="6" t="s">
        <v>38</v>
      </c>
      <c r="K4" s="6" t="str">
        <f aca="false">VLOOKUP(C4,Tabla_Marcas!$A$2:$D$5,2,FALSE())</f>
        <v>Marta Gómez</v>
      </c>
      <c r="L4" s="8" t="n">
        <f aca="false">_xlfn.XLOOKUP(C4, Tabla_Marcas!$A$2:$A$5, Tabla_Marcas!$C$2:$C$5)</f>
        <v>90000</v>
      </c>
      <c r="M4" s="18" t="n">
        <f aca="false">H4/G4</f>
        <v>0.0274226143054233</v>
      </c>
      <c r="N4" s="19" t="n">
        <f aca="false">VLOOKUP(C4,Tabla_Marcas!$A$2:$D$5,4,FALSE())</f>
        <v>0.018</v>
      </c>
      <c r="O4" s="6" t="str">
        <f aca="false">IF(F4&lt;=E4,"Sí","No")</f>
        <v>No</v>
      </c>
      <c r="P4" s="6" t="str">
        <f aca="false">_xlfn.IFS(M4&gt;=N4*1.2,"Alto",M4&gt;=N4*0.8,"Medio",TRUE(),"Bajo")</f>
        <v>Alto</v>
      </c>
    </row>
    <row r="5" customFormat="false" ht="15" hidden="false" customHeight="false" outlineLevel="0" collapsed="false">
      <c r="A5" s="6" t="n">
        <v>4</v>
      </c>
      <c r="B5" s="7" t="n">
        <v>46133</v>
      </c>
      <c r="C5" s="6" t="s">
        <v>41</v>
      </c>
      <c r="D5" s="6" t="s">
        <v>42</v>
      </c>
      <c r="E5" s="8" t="n">
        <v>45000</v>
      </c>
      <c r="F5" s="8" t="n">
        <v>42600</v>
      </c>
      <c r="G5" s="9" t="n">
        <v>172886</v>
      </c>
      <c r="H5" s="9" t="n">
        <v>5354</v>
      </c>
      <c r="I5" s="9" t="n">
        <v>394</v>
      </c>
      <c r="J5" s="6" t="s">
        <v>38</v>
      </c>
      <c r="K5" s="6" t="str">
        <f aca="false">VLOOKUP(C5,Tabla_Marcas!$A$2:$D$5,2,FALSE())</f>
        <v>Luis Peña</v>
      </c>
      <c r="L5" s="8" t="n">
        <f aca="false">_xlfn.XLOOKUP(C5, Tabla_Marcas!$A$2:$A$5, Tabla_Marcas!$C$2:$C$5)</f>
        <v>100000</v>
      </c>
      <c r="M5" s="18" t="n">
        <f aca="false">H5/G5</f>
        <v>0.0309683837904747</v>
      </c>
      <c r="N5" s="19" t="n">
        <f aca="false">VLOOKUP(C5,Tabla_Marcas!$A$2:$D$5,4,FALSE())</f>
        <v>0.022</v>
      </c>
      <c r="O5" s="6" t="str">
        <f aca="false">IF(F5&lt;=E5,"Sí","No")</f>
        <v>Sí</v>
      </c>
      <c r="P5" s="6" t="str">
        <f aca="false">_xlfn.IFS(M5&gt;=N5*1.2,"Alto",M5&gt;=N5*0.8,"Medio",TRUE(),"Bajo")</f>
        <v>Alto</v>
      </c>
    </row>
    <row r="6" customFormat="false" ht="15" hidden="false" customHeight="false" outlineLevel="0" collapsed="false">
      <c r="A6" s="6" t="n">
        <v>5</v>
      </c>
      <c r="B6" s="7" t="n">
        <v>46145</v>
      </c>
      <c r="C6" s="6" t="s">
        <v>33</v>
      </c>
      <c r="D6" s="6" t="s">
        <v>34</v>
      </c>
      <c r="E6" s="8" t="n">
        <v>25000</v>
      </c>
      <c r="F6" s="8" t="n">
        <v>24400</v>
      </c>
      <c r="G6" s="9" t="n">
        <v>240331</v>
      </c>
      <c r="H6" s="9" t="n">
        <v>5404</v>
      </c>
      <c r="I6" s="9" t="n">
        <v>652</v>
      </c>
      <c r="J6" s="6" t="s">
        <v>38</v>
      </c>
      <c r="K6" s="6" t="str">
        <f aca="false">VLOOKUP(C6,Tabla_Marcas!$A$2:$D$5,2,FALSE())</f>
        <v>Ana Torres</v>
      </c>
      <c r="L6" s="8" t="n">
        <f aca="false">_xlfn.XLOOKUP(C6, Tabla_Marcas!$A$2:$A$5, Tabla_Marcas!$C$2:$C$5)</f>
        <v>150000</v>
      </c>
      <c r="M6" s="18" t="n">
        <f aca="false">H6/G6</f>
        <v>0.0224856552005359</v>
      </c>
      <c r="N6" s="19" t="n">
        <f aca="false">VLOOKUP(C6,Tabla_Marcas!$A$2:$D$5,4,FALSE())</f>
        <v>0.02</v>
      </c>
      <c r="O6" s="6" t="str">
        <f aca="false">IF(F6&lt;=E6,"Sí","No")</f>
        <v>Sí</v>
      </c>
      <c r="P6" s="6" t="str">
        <f aca="false">_xlfn.IFS(M6&gt;=N6*1.2,"Alto",M6&gt;=N6*0.8,"Medio",TRUE(),"Bajo")</f>
        <v>Medio</v>
      </c>
    </row>
    <row r="7" customFormat="false" ht="15" hidden="false" customHeight="false" outlineLevel="0" collapsed="false">
      <c r="A7" s="6" t="n">
        <v>6</v>
      </c>
      <c r="B7" s="7" t="n">
        <v>46182</v>
      </c>
      <c r="C7" s="6" t="s">
        <v>36</v>
      </c>
      <c r="D7" s="6" t="s">
        <v>43</v>
      </c>
      <c r="E7" s="8" t="n">
        <v>50000</v>
      </c>
      <c r="F7" s="8" t="n">
        <v>43900</v>
      </c>
      <c r="G7" s="9" t="n">
        <v>213709</v>
      </c>
      <c r="H7" s="9" t="n">
        <v>5963</v>
      </c>
      <c r="I7" s="9" t="n">
        <v>607</v>
      </c>
      <c r="J7" s="6" t="s">
        <v>35</v>
      </c>
      <c r="K7" s="6" t="str">
        <f aca="false">VLOOKUP(C7,Tabla_Marcas!$A$2:$D$5,2,FALSE())</f>
        <v>Carlos Ruiz</v>
      </c>
      <c r="L7" s="8" t="n">
        <f aca="false">_xlfn.XLOOKUP(C7, Tabla_Marcas!$A$2:$A$5, Tabla_Marcas!$C$2:$C$5)</f>
        <v>120000</v>
      </c>
      <c r="M7" s="18" t="n">
        <f aca="false">H7/G7</f>
        <v>0.0279024280680739</v>
      </c>
      <c r="N7" s="19" t="n">
        <f aca="false">VLOOKUP(C7,Tabla_Marcas!$A$2:$D$5,4,FALSE())</f>
        <v>0.025</v>
      </c>
      <c r="O7" s="6" t="str">
        <f aca="false">IF(F7&lt;=E7,"Sí","No")</f>
        <v>Sí</v>
      </c>
      <c r="P7" s="6" t="str">
        <f aca="false">_xlfn.IFS(M7&gt;=N7*1.2,"Alto",M7&gt;=N7*0.8,"Medio",TRUE(),"Bajo")</f>
        <v>Medio</v>
      </c>
    </row>
    <row r="8" customFormat="false" ht="15" hidden="false" customHeight="false" outlineLevel="0" collapsed="false">
      <c r="A8" s="6" t="n">
        <v>7</v>
      </c>
      <c r="B8" s="7" t="n">
        <v>46037</v>
      </c>
      <c r="C8" s="6" t="s">
        <v>39</v>
      </c>
      <c r="D8" s="6" t="s">
        <v>44</v>
      </c>
      <c r="E8" s="8" t="n">
        <v>25000</v>
      </c>
      <c r="F8" s="8" t="n">
        <v>21700</v>
      </c>
      <c r="G8" s="9" t="n">
        <v>179484</v>
      </c>
      <c r="H8" s="9" t="n">
        <v>4765</v>
      </c>
      <c r="I8" s="9" t="n">
        <v>660</v>
      </c>
      <c r="J8" s="6" t="s">
        <v>45</v>
      </c>
      <c r="K8" s="6" t="str">
        <f aca="false">VLOOKUP(C8,Tabla_Marcas!$A$2:$D$5,2,FALSE())</f>
        <v>Marta Gómez</v>
      </c>
      <c r="L8" s="8" t="n">
        <f aca="false">_xlfn.XLOOKUP(C8, Tabla_Marcas!$A$2:$A$5, Tabla_Marcas!$C$2:$C$5)</f>
        <v>90000</v>
      </c>
      <c r="M8" s="18" t="n">
        <f aca="false">H8/G8</f>
        <v>0.0265483274275144</v>
      </c>
      <c r="N8" s="19" t="n">
        <f aca="false">VLOOKUP(C8,Tabla_Marcas!$A$2:$D$5,4,FALSE())</f>
        <v>0.018</v>
      </c>
      <c r="O8" s="6" t="str">
        <f aca="false">IF(F8&lt;=E8,"Sí","No")</f>
        <v>Sí</v>
      </c>
      <c r="P8" s="6" t="str">
        <f aca="false">_xlfn.IFS(M8&gt;=N8*1.2,"Alto",M8&gt;=N8*0.8,"Medio",TRUE(),"Bajo")</f>
        <v>Alto</v>
      </c>
    </row>
    <row r="9" customFormat="false" ht="15" hidden="false" customHeight="false" outlineLevel="0" collapsed="false">
      <c r="A9" s="6" t="n">
        <v>8</v>
      </c>
      <c r="B9" s="7" t="n">
        <v>46074</v>
      </c>
      <c r="C9" s="6" t="s">
        <v>41</v>
      </c>
      <c r="D9" s="6" t="s">
        <v>42</v>
      </c>
      <c r="E9" s="8" t="n">
        <v>50000</v>
      </c>
      <c r="F9" s="8" t="n">
        <v>47400</v>
      </c>
      <c r="G9" s="9" t="n">
        <v>393281</v>
      </c>
      <c r="H9" s="9" t="n">
        <v>11019</v>
      </c>
      <c r="I9" s="9" t="n">
        <v>619</v>
      </c>
      <c r="J9" s="6" t="s">
        <v>35</v>
      </c>
      <c r="K9" s="6" t="str">
        <f aca="false">VLOOKUP(C9,Tabla_Marcas!$A$2:$D$5,2,FALSE())</f>
        <v>Luis Peña</v>
      </c>
      <c r="L9" s="8" t="n">
        <f aca="false">_xlfn.XLOOKUP(C9, Tabla_Marcas!$A$2:$A$5, Tabla_Marcas!$C$2:$C$5)</f>
        <v>100000</v>
      </c>
      <c r="M9" s="18" t="n">
        <f aca="false">H9/G9</f>
        <v>0.0280181346162159</v>
      </c>
      <c r="N9" s="19" t="n">
        <f aca="false">VLOOKUP(C9,Tabla_Marcas!$A$2:$D$5,4,FALSE())</f>
        <v>0.022</v>
      </c>
      <c r="O9" s="6" t="str">
        <f aca="false">IF(F9&lt;=E9,"Sí","No")</f>
        <v>Sí</v>
      </c>
      <c r="P9" s="6" t="str">
        <f aca="false">_xlfn.IFS(M9&gt;=N9*1.2,"Alto",M9&gt;=N9*0.8,"Medio",TRUE(),"Bajo")</f>
        <v>Alto</v>
      </c>
    </row>
    <row r="10" customFormat="false" ht="15" hidden="false" customHeight="false" outlineLevel="0" collapsed="false">
      <c r="A10" s="6" t="n">
        <v>9</v>
      </c>
      <c r="B10" s="7" t="n">
        <v>46084</v>
      </c>
      <c r="C10" s="6" t="s">
        <v>33</v>
      </c>
      <c r="D10" s="6" t="s">
        <v>46</v>
      </c>
      <c r="E10" s="8" t="n">
        <v>40000</v>
      </c>
      <c r="F10" s="8" t="n">
        <v>43800</v>
      </c>
      <c r="G10" s="9" t="n">
        <v>418375</v>
      </c>
      <c r="H10" s="9" t="n">
        <v>9853</v>
      </c>
      <c r="I10" s="9" t="n">
        <v>994</v>
      </c>
      <c r="J10" s="6" t="s">
        <v>45</v>
      </c>
      <c r="K10" s="6" t="str">
        <f aca="false">VLOOKUP(C10,Tabla_Marcas!$A$2:$D$5,2,FALSE())</f>
        <v>Ana Torres</v>
      </c>
      <c r="L10" s="8" t="n">
        <f aca="false">_xlfn.XLOOKUP(C10, Tabla_Marcas!$A$2:$A$5, Tabla_Marcas!$C$2:$C$5)</f>
        <v>150000</v>
      </c>
      <c r="M10" s="18" t="n">
        <f aca="false">H10/G10</f>
        <v>0.0235506423662982</v>
      </c>
      <c r="N10" s="19" t="n">
        <f aca="false">VLOOKUP(C10,Tabla_Marcas!$A$2:$D$5,4,FALSE())</f>
        <v>0.02</v>
      </c>
      <c r="O10" s="6" t="str">
        <f aca="false">IF(F10&lt;=E10,"Sí","No")</f>
        <v>No</v>
      </c>
      <c r="P10" s="6" t="str">
        <f aca="false">_xlfn.IFS(M10&gt;=N10*1.2,"Alto",M10&gt;=N10*0.8,"Medio",TRUE(),"Bajo")</f>
        <v>Medio</v>
      </c>
    </row>
    <row r="11" customFormat="false" ht="15" hidden="false" customHeight="false" outlineLevel="0" collapsed="false">
      <c r="A11" s="6" t="n">
        <v>10</v>
      </c>
      <c r="B11" s="7" t="n">
        <v>46121</v>
      </c>
      <c r="C11" s="6" t="s">
        <v>36</v>
      </c>
      <c r="D11" s="6" t="s">
        <v>47</v>
      </c>
      <c r="E11" s="8" t="n">
        <v>30000</v>
      </c>
      <c r="F11" s="8" t="n">
        <v>30400</v>
      </c>
      <c r="G11" s="9" t="n">
        <v>201530</v>
      </c>
      <c r="H11" s="9" t="n">
        <v>6398</v>
      </c>
      <c r="I11" s="9" t="n">
        <v>665</v>
      </c>
      <c r="J11" s="6" t="s">
        <v>45</v>
      </c>
      <c r="K11" s="6" t="str">
        <f aca="false">VLOOKUP(C11,Tabla_Marcas!$A$2:$D$5,2,FALSE())</f>
        <v>Carlos Ruiz</v>
      </c>
      <c r="L11" s="8" t="n">
        <f aca="false">_xlfn.XLOOKUP(C11, Tabla_Marcas!$A$2:$A$5, Tabla_Marcas!$C$2:$C$5)</f>
        <v>120000</v>
      </c>
      <c r="M11" s="18" t="n">
        <f aca="false">H11/G11</f>
        <v>0.0317471344216742</v>
      </c>
      <c r="N11" s="19" t="n">
        <f aca="false">VLOOKUP(C11,Tabla_Marcas!$A$2:$D$5,4,FALSE())</f>
        <v>0.025</v>
      </c>
      <c r="O11" s="6" t="str">
        <f aca="false">IF(F11&lt;=E11,"Sí","No")</f>
        <v>No</v>
      </c>
      <c r="P11" s="6" t="str">
        <f aca="false">_xlfn.IFS(M11&gt;=N11*1.2,"Alto",M11&gt;=N11*0.8,"Medio",TRUE(),"Bajo")</f>
        <v>Alto</v>
      </c>
    </row>
    <row r="12" customFormat="false" ht="15" hidden="false" customHeight="false" outlineLevel="0" collapsed="false">
      <c r="A12" s="6" t="n">
        <v>11</v>
      </c>
      <c r="B12" s="7" t="n">
        <v>46157</v>
      </c>
      <c r="C12" s="6" t="s">
        <v>39</v>
      </c>
      <c r="D12" s="6" t="s">
        <v>40</v>
      </c>
      <c r="E12" s="8" t="n">
        <v>20000</v>
      </c>
      <c r="F12" s="8" t="n">
        <v>18600</v>
      </c>
      <c r="G12" s="9" t="n">
        <v>76829</v>
      </c>
      <c r="H12" s="9" t="n">
        <v>2099</v>
      </c>
      <c r="I12" s="9" t="n">
        <v>168</v>
      </c>
      <c r="J12" s="6" t="s">
        <v>48</v>
      </c>
      <c r="K12" s="6" t="str">
        <f aca="false">VLOOKUP(C12,Tabla_Marcas!$A$2:$D$5,2,FALSE())</f>
        <v>Marta Gómez</v>
      </c>
      <c r="L12" s="8" t="n">
        <f aca="false">_xlfn.XLOOKUP(C12, Tabla_Marcas!$A$2:$A$5, Tabla_Marcas!$C$2:$C$5)</f>
        <v>90000</v>
      </c>
      <c r="M12" s="18" t="n">
        <f aca="false">H12/G12</f>
        <v>0.0273204128649338</v>
      </c>
      <c r="N12" s="19" t="n">
        <f aca="false">VLOOKUP(C12,Tabla_Marcas!$A$2:$D$5,4,FALSE())</f>
        <v>0.018</v>
      </c>
      <c r="O12" s="6" t="str">
        <f aca="false">IF(F12&lt;=E12,"Sí","No")</f>
        <v>Sí</v>
      </c>
      <c r="P12" s="6" t="str">
        <f aca="false">_xlfn.IFS(M12&gt;=N12*1.2,"Alto",M12&gt;=N12*0.8,"Medio",TRUE(),"Bajo")</f>
        <v>Alto</v>
      </c>
    </row>
    <row r="13" customFormat="false" ht="15" hidden="false" customHeight="false" outlineLevel="0" collapsed="false">
      <c r="A13" s="6" t="n">
        <v>12</v>
      </c>
      <c r="B13" s="7" t="n">
        <v>46194</v>
      </c>
      <c r="C13" s="6" t="s">
        <v>41</v>
      </c>
      <c r="D13" s="6" t="s">
        <v>49</v>
      </c>
      <c r="E13" s="8" t="n">
        <v>45000</v>
      </c>
      <c r="F13" s="8" t="n">
        <v>41600</v>
      </c>
      <c r="G13" s="9" t="n">
        <v>321740</v>
      </c>
      <c r="H13" s="9" t="n">
        <v>5628</v>
      </c>
      <c r="I13" s="9" t="n">
        <v>739</v>
      </c>
      <c r="J13" s="6" t="s">
        <v>45</v>
      </c>
      <c r="K13" s="6" t="str">
        <f aca="false">VLOOKUP(C13,Tabla_Marcas!$A$2:$D$5,2,FALSE())</f>
        <v>Luis Peña</v>
      </c>
      <c r="L13" s="8" t="n">
        <f aca="false">_xlfn.XLOOKUP(C13, Tabla_Marcas!$A$2:$A$5, Tabla_Marcas!$C$2:$C$5)</f>
        <v>100000</v>
      </c>
      <c r="M13" s="18" t="n">
        <f aca="false">H13/G13</f>
        <v>0.0174923851557158</v>
      </c>
      <c r="N13" s="19" t="n">
        <f aca="false">VLOOKUP(C13,Tabla_Marcas!$A$2:$D$5,4,FALSE())</f>
        <v>0.022</v>
      </c>
      <c r="O13" s="6" t="str">
        <f aca="false">IF(F13&lt;=E13,"Sí","No")</f>
        <v>Sí</v>
      </c>
      <c r="P13" s="6" t="str">
        <f aca="false">_xlfn.IFS(M13&gt;=N13*1.2,"Alto",M13&gt;=N13*0.8,"Medio",TRUE(),"Bajo")</f>
        <v>Bajo</v>
      </c>
    </row>
    <row r="14" customFormat="false" ht="15" hidden="false" customHeight="false" outlineLevel="0" collapsed="false">
      <c r="A14" s="6" t="n">
        <v>13</v>
      </c>
      <c r="B14" s="7" t="n">
        <v>46025</v>
      </c>
      <c r="C14" s="6" t="s">
        <v>33</v>
      </c>
      <c r="D14" s="6" t="s">
        <v>50</v>
      </c>
      <c r="E14" s="8" t="n">
        <v>40000</v>
      </c>
      <c r="F14" s="8" t="n">
        <v>36000</v>
      </c>
      <c r="G14" s="9" t="n">
        <v>450588</v>
      </c>
      <c r="H14" s="9" t="n">
        <v>9675</v>
      </c>
      <c r="I14" s="9" t="n">
        <v>641</v>
      </c>
      <c r="J14" s="6" t="s">
        <v>45</v>
      </c>
      <c r="K14" s="6" t="str">
        <f aca="false">VLOOKUP(C14,Tabla_Marcas!$A$2:$D$5,2,FALSE())</f>
        <v>Ana Torres</v>
      </c>
      <c r="L14" s="8" t="n">
        <f aca="false">_xlfn.XLOOKUP(C14, Tabla_Marcas!$A$2:$A$5, Tabla_Marcas!$C$2:$C$5)</f>
        <v>150000</v>
      </c>
      <c r="M14" s="18" t="n">
        <f aca="false">H14/G14</f>
        <v>0.0214719433273856</v>
      </c>
      <c r="N14" s="19" t="n">
        <f aca="false">VLOOKUP(C14,Tabla_Marcas!$A$2:$D$5,4,FALSE())</f>
        <v>0.02</v>
      </c>
      <c r="O14" s="6" t="str">
        <f aca="false">IF(F14&lt;=E14,"Sí","No")</f>
        <v>Sí</v>
      </c>
      <c r="P14" s="6" t="str">
        <f aca="false">_xlfn.IFS(M14&gt;=N14*1.2,"Alto",M14&gt;=N14*0.8,"Medio",TRUE(),"Bajo")</f>
        <v>Medio</v>
      </c>
    </row>
    <row r="15" customFormat="false" ht="15" hidden="false" customHeight="false" outlineLevel="0" collapsed="false">
      <c r="A15" s="6" t="n">
        <v>14</v>
      </c>
      <c r="B15" s="7" t="n">
        <v>46062</v>
      </c>
      <c r="C15" s="6" t="s">
        <v>36</v>
      </c>
      <c r="D15" s="6" t="s">
        <v>43</v>
      </c>
      <c r="E15" s="8" t="n">
        <v>45000</v>
      </c>
      <c r="F15" s="8" t="n">
        <v>41700</v>
      </c>
      <c r="G15" s="9" t="n">
        <v>132525</v>
      </c>
      <c r="H15" s="9" t="n">
        <v>2680</v>
      </c>
      <c r="I15" s="9" t="n">
        <v>131</v>
      </c>
      <c r="J15" s="6" t="s">
        <v>38</v>
      </c>
      <c r="K15" s="6" t="str">
        <f aca="false">VLOOKUP(C15,Tabla_Marcas!$A$2:$D$5,2,FALSE())</f>
        <v>Carlos Ruiz</v>
      </c>
      <c r="L15" s="8" t="n">
        <f aca="false">_xlfn.XLOOKUP(C15, Tabla_Marcas!$A$2:$A$5, Tabla_Marcas!$C$2:$C$5)</f>
        <v>120000</v>
      </c>
      <c r="M15" s="18" t="n">
        <f aca="false">H15/G15</f>
        <v>0.0202225995095265</v>
      </c>
      <c r="N15" s="19" t="n">
        <f aca="false">VLOOKUP(C15,Tabla_Marcas!$A$2:$D$5,4,FALSE())</f>
        <v>0.025</v>
      </c>
      <c r="O15" s="6" t="str">
        <f aca="false">IF(F15&lt;=E15,"Sí","No")</f>
        <v>Sí</v>
      </c>
      <c r="P15" s="6" t="str">
        <f aca="false">_xlfn.IFS(M15&gt;=N15*1.2,"Alto",M15&gt;=N15*0.8,"Medio",TRUE(),"Bajo")</f>
        <v>Medio</v>
      </c>
    </row>
    <row r="16" customFormat="false" ht="15" hidden="false" customHeight="false" outlineLevel="0" collapsed="false">
      <c r="A16" s="6" t="n">
        <v>15</v>
      </c>
      <c r="B16" s="7" t="n">
        <v>46096</v>
      </c>
      <c r="C16" s="6" t="s">
        <v>39</v>
      </c>
      <c r="D16" s="6" t="s">
        <v>51</v>
      </c>
      <c r="E16" s="8" t="n">
        <v>30000</v>
      </c>
      <c r="F16" s="8" t="n">
        <v>32100</v>
      </c>
      <c r="G16" s="9" t="n">
        <v>475277</v>
      </c>
      <c r="H16" s="9" t="n">
        <v>11564</v>
      </c>
      <c r="I16" s="9" t="n">
        <v>1152</v>
      </c>
      <c r="J16" s="6" t="s">
        <v>35</v>
      </c>
      <c r="K16" s="6" t="str">
        <f aca="false">VLOOKUP(C16,Tabla_Marcas!$A$2:$D$5,2,FALSE())</f>
        <v>Marta Gómez</v>
      </c>
      <c r="L16" s="8" t="n">
        <f aca="false">_xlfn.XLOOKUP(C16, Tabla_Marcas!$A$2:$A$5, Tabla_Marcas!$C$2:$C$5)</f>
        <v>90000</v>
      </c>
      <c r="M16" s="18" t="n">
        <f aca="false">H16/G16</f>
        <v>0.0243310742998294</v>
      </c>
      <c r="N16" s="19" t="n">
        <f aca="false">VLOOKUP(C16,Tabla_Marcas!$A$2:$D$5,4,FALSE())</f>
        <v>0.018</v>
      </c>
      <c r="O16" s="6" t="str">
        <f aca="false">IF(F16&lt;=E16,"Sí","No")</f>
        <v>No</v>
      </c>
      <c r="P16" s="6" t="str">
        <f aca="false">_xlfn.IFS(M16&gt;=N16*1.2,"Alto",M16&gt;=N16*0.8,"Medio",TRUE(),"Bajo")</f>
        <v>Alto</v>
      </c>
    </row>
    <row r="17" customFormat="false" ht="15" hidden="false" customHeight="false" outlineLevel="0" collapsed="false">
      <c r="A17" s="6" t="n">
        <v>16</v>
      </c>
      <c r="B17" s="7" t="n">
        <v>46133</v>
      </c>
      <c r="C17" s="6" t="s">
        <v>41</v>
      </c>
      <c r="D17" s="6" t="s">
        <v>52</v>
      </c>
      <c r="E17" s="8" t="n">
        <v>60000</v>
      </c>
      <c r="F17" s="8" t="n">
        <v>62100</v>
      </c>
      <c r="G17" s="9" t="n">
        <v>350049</v>
      </c>
      <c r="H17" s="9" t="n">
        <v>10031</v>
      </c>
      <c r="I17" s="9" t="n">
        <v>412</v>
      </c>
      <c r="J17" s="6" t="s">
        <v>38</v>
      </c>
      <c r="K17" s="6" t="str">
        <f aca="false">VLOOKUP(C17,Tabla_Marcas!$A$2:$D$5,2,FALSE())</f>
        <v>Luis Peña</v>
      </c>
      <c r="L17" s="8" t="n">
        <f aca="false">_xlfn.XLOOKUP(C17, Tabla_Marcas!$A$2:$A$5, Tabla_Marcas!$C$2:$C$5)</f>
        <v>100000</v>
      </c>
      <c r="M17" s="18" t="n">
        <f aca="false">H17/G17</f>
        <v>0.0286559881616574</v>
      </c>
      <c r="N17" s="19" t="n">
        <f aca="false">VLOOKUP(C17,Tabla_Marcas!$A$2:$D$5,4,FALSE())</f>
        <v>0.022</v>
      </c>
      <c r="O17" s="6" t="str">
        <f aca="false">IF(F17&lt;=E17,"Sí","No")</f>
        <v>No</v>
      </c>
      <c r="P17" s="6" t="str">
        <f aca="false">_xlfn.IFS(M17&gt;=N17*1.2,"Alto",M17&gt;=N17*0.8,"Medio",TRUE(),"Bajo")</f>
        <v>Alto</v>
      </c>
    </row>
    <row r="18" customFormat="false" ht="15" hidden="false" customHeight="false" outlineLevel="0" collapsed="false">
      <c r="A18" s="6" t="n">
        <v>17</v>
      </c>
      <c r="B18" s="7" t="n">
        <v>46145</v>
      </c>
      <c r="C18" s="6" t="s">
        <v>33</v>
      </c>
      <c r="D18" s="6" t="s">
        <v>34</v>
      </c>
      <c r="E18" s="8" t="n">
        <v>45000</v>
      </c>
      <c r="F18" s="8" t="n">
        <v>40000</v>
      </c>
      <c r="G18" s="9" t="n">
        <v>287942</v>
      </c>
      <c r="H18" s="9" t="n">
        <v>3396</v>
      </c>
      <c r="I18" s="9" t="n">
        <v>136</v>
      </c>
      <c r="J18" s="6" t="s">
        <v>48</v>
      </c>
      <c r="K18" s="6" t="str">
        <f aca="false">VLOOKUP(C18,Tabla_Marcas!$A$2:$D$5,2,FALSE())</f>
        <v>Ana Torres</v>
      </c>
      <c r="L18" s="8" t="n">
        <f aca="false">_xlfn.XLOOKUP(C18, Tabla_Marcas!$A$2:$A$5, Tabla_Marcas!$C$2:$C$5)</f>
        <v>150000</v>
      </c>
      <c r="M18" s="18" t="n">
        <f aca="false">H18/G18</f>
        <v>0.0117940418556515</v>
      </c>
      <c r="N18" s="19" t="n">
        <f aca="false">VLOOKUP(C18,Tabla_Marcas!$A$2:$D$5,4,FALSE())</f>
        <v>0.02</v>
      </c>
      <c r="O18" s="6" t="str">
        <f aca="false">IF(F18&lt;=E18,"Sí","No")</f>
        <v>Sí</v>
      </c>
      <c r="P18" s="6" t="str">
        <f aca="false">_xlfn.IFS(M18&gt;=N18*1.2,"Alto",M18&gt;=N18*0.8,"Medio",TRUE(),"Bajo")</f>
        <v>Bajo</v>
      </c>
    </row>
    <row r="19" customFormat="false" ht="15" hidden="false" customHeight="false" outlineLevel="0" collapsed="false">
      <c r="A19" s="6" t="n">
        <v>18</v>
      </c>
      <c r="B19" s="7" t="n">
        <v>46182</v>
      </c>
      <c r="C19" s="6" t="s">
        <v>36</v>
      </c>
      <c r="D19" s="6" t="s">
        <v>53</v>
      </c>
      <c r="E19" s="8" t="n">
        <v>25000</v>
      </c>
      <c r="F19" s="8" t="n">
        <v>28900</v>
      </c>
      <c r="G19" s="9" t="n">
        <v>216471</v>
      </c>
      <c r="H19" s="9" t="n">
        <v>6104</v>
      </c>
      <c r="I19" s="9" t="n">
        <v>554</v>
      </c>
      <c r="J19" s="6" t="s">
        <v>45</v>
      </c>
      <c r="K19" s="6" t="str">
        <f aca="false">VLOOKUP(C19,Tabla_Marcas!$A$2:$D$5,2,FALSE())</f>
        <v>Carlos Ruiz</v>
      </c>
      <c r="L19" s="8" t="n">
        <f aca="false">_xlfn.XLOOKUP(C19, Tabla_Marcas!$A$2:$A$5, Tabla_Marcas!$C$2:$C$5)</f>
        <v>120000</v>
      </c>
      <c r="M19" s="18" t="n">
        <f aca="false">H19/G19</f>
        <v>0.0281977724498894</v>
      </c>
      <c r="N19" s="19" t="n">
        <f aca="false">VLOOKUP(C19,Tabla_Marcas!$A$2:$D$5,4,FALSE())</f>
        <v>0.025</v>
      </c>
      <c r="O19" s="6" t="str">
        <f aca="false">IF(F19&lt;=E19,"Sí","No")</f>
        <v>No</v>
      </c>
      <c r="P19" s="6" t="str">
        <f aca="false">_xlfn.IFS(M19&gt;=N19*1.2,"Alto",M19&gt;=N19*0.8,"Medio",TRUE(),"Bajo")</f>
        <v>Medio</v>
      </c>
    </row>
    <row r="20" customFormat="false" ht="15" hidden="false" customHeight="false" outlineLevel="0" collapsed="false">
      <c r="A20" s="6" t="n">
        <v>19</v>
      </c>
      <c r="B20" s="7" t="n">
        <v>46037</v>
      </c>
      <c r="C20" s="6" t="s">
        <v>39</v>
      </c>
      <c r="D20" s="6" t="s">
        <v>40</v>
      </c>
      <c r="E20" s="8" t="n">
        <v>45000</v>
      </c>
      <c r="F20" s="8" t="n">
        <v>50300</v>
      </c>
      <c r="G20" s="9" t="n">
        <v>342789</v>
      </c>
      <c r="H20" s="9" t="n">
        <v>10586</v>
      </c>
      <c r="I20" s="9" t="n">
        <v>1399</v>
      </c>
      <c r="J20" s="6" t="s">
        <v>45</v>
      </c>
      <c r="K20" s="6" t="str">
        <f aca="false">VLOOKUP(C20,Tabla_Marcas!$A$2:$D$5,2,FALSE())</f>
        <v>Marta Gómez</v>
      </c>
      <c r="L20" s="8" t="n">
        <f aca="false">_xlfn.XLOOKUP(C20, Tabla_Marcas!$A$2:$A$5, Tabla_Marcas!$C$2:$C$5)</f>
        <v>90000</v>
      </c>
      <c r="M20" s="18" t="n">
        <f aca="false">H20/G20</f>
        <v>0.0308819711250944</v>
      </c>
      <c r="N20" s="19" t="n">
        <f aca="false">VLOOKUP(C20,Tabla_Marcas!$A$2:$D$5,4,FALSE())</f>
        <v>0.018</v>
      </c>
      <c r="O20" s="6" t="str">
        <f aca="false">IF(F20&lt;=E20,"Sí","No")</f>
        <v>No</v>
      </c>
      <c r="P20" s="6" t="str">
        <f aca="false">_xlfn.IFS(M20&gt;=N20*1.2,"Alto",M20&gt;=N20*0.8,"Medio",TRUE(),"Bajo")</f>
        <v>Alto</v>
      </c>
    </row>
    <row r="21" customFormat="false" ht="15" hidden="false" customHeight="false" outlineLevel="0" collapsed="false">
      <c r="A21" s="6" t="n">
        <v>20</v>
      </c>
      <c r="B21" s="7" t="n">
        <v>46074</v>
      </c>
      <c r="C21" s="6" t="s">
        <v>41</v>
      </c>
      <c r="D21" s="6" t="s">
        <v>49</v>
      </c>
      <c r="E21" s="8" t="n">
        <v>60000</v>
      </c>
      <c r="F21" s="8" t="n">
        <v>51400</v>
      </c>
      <c r="G21" s="9" t="n">
        <v>250306</v>
      </c>
      <c r="H21" s="9" t="n">
        <v>7281</v>
      </c>
      <c r="I21" s="9" t="n">
        <v>896</v>
      </c>
      <c r="J21" s="6" t="s">
        <v>48</v>
      </c>
      <c r="K21" s="6" t="str">
        <f aca="false">VLOOKUP(C21,Tabla_Marcas!$A$2:$D$5,2,FALSE())</f>
        <v>Luis Peña</v>
      </c>
      <c r="L21" s="8" t="n">
        <f aca="false">_xlfn.XLOOKUP(C21, Tabla_Marcas!$A$2:$A$5, Tabla_Marcas!$C$2:$C$5)</f>
        <v>100000</v>
      </c>
      <c r="M21" s="18" t="n">
        <f aca="false">H21/G21</f>
        <v>0.0290883958035365</v>
      </c>
      <c r="N21" s="19" t="n">
        <f aca="false">VLOOKUP(C21,Tabla_Marcas!$A$2:$D$5,4,FALSE())</f>
        <v>0.022</v>
      </c>
      <c r="O21" s="6" t="str">
        <f aca="false">IF(F21&lt;=E21,"Sí","No")</f>
        <v>Sí</v>
      </c>
      <c r="P21" s="6" t="str">
        <f aca="false">_xlfn.IFS(M21&gt;=N21*1.2,"Alto",M21&gt;=N21*0.8,"Medio",TRUE(),"Bajo")</f>
        <v>Alto</v>
      </c>
    </row>
    <row r="22" customFormat="false" ht="15" hidden="false" customHeight="false" outlineLevel="0" collapsed="false">
      <c r="A22" s="6" t="n">
        <v>21</v>
      </c>
      <c r="B22" s="7" t="n">
        <v>46084</v>
      </c>
      <c r="C22" s="6" t="s">
        <v>33</v>
      </c>
      <c r="D22" s="6" t="s">
        <v>46</v>
      </c>
      <c r="E22" s="8" t="n">
        <v>20000</v>
      </c>
      <c r="F22" s="8" t="n">
        <v>18700</v>
      </c>
      <c r="G22" s="9" t="n">
        <v>357458</v>
      </c>
      <c r="H22" s="9" t="n">
        <v>10983</v>
      </c>
      <c r="I22" s="9" t="n">
        <v>533</v>
      </c>
      <c r="J22" s="6" t="s">
        <v>45</v>
      </c>
      <c r="K22" s="6" t="str">
        <f aca="false">VLOOKUP(C22,Tabla_Marcas!$A$2:$D$5,2,FALSE())</f>
        <v>Ana Torres</v>
      </c>
      <c r="L22" s="8" t="n">
        <f aca="false">_xlfn.XLOOKUP(C22, Tabla_Marcas!$A$2:$A$5, Tabla_Marcas!$C$2:$C$5)</f>
        <v>150000</v>
      </c>
      <c r="M22" s="18" t="n">
        <f aca="false">H22/G22</f>
        <v>0.0307252880058636</v>
      </c>
      <c r="N22" s="19" t="n">
        <f aca="false">VLOOKUP(C22,Tabla_Marcas!$A$2:$D$5,4,FALSE())</f>
        <v>0.02</v>
      </c>
      <c r="O22" s="6" t="str">
        <f aca="false">IF(F22&lt;=E22,"Sí","No")</f>
        <v>Sí</v>
      </c>
      <c r="P22" s="6" t="str">
        <f aca="false">_xlfn.IFS(M22&gt;=N22*1.2,"Alto",M22&gt;=N22*0.8,"Medio",TRUE(),"Bajo")</f>
        <v>Alto</v>
      </c>
    </row>
    <row r="23" customFormat="false" ht="15" hidden="false" customHeight="false" outlineLevel="0" collapsed="false">
      <c r="A23" s="6" t="n">
        <v>22</v>
      </c>
      <c r="B23" s="7" t="n">
        <v>46121</v>
      </c>
      <c r="C23" s="6" t="s">
        <v>36</v>
      </c>
      <c r="D23" s="6" t="s">
        <v>43</v>
      </c>
      <c r="E23" s="8" t="n">
        <v>30000</v>
      </c>
      <c r="F23" s="8" t="n">
        <v>26800</v>
      </c>
      <c r="G23" s="9" t="n">
        <v>309184</v>
      </c>
      <c r="H23" s="9" t="n">
        <v>9499</v>
      </c>
      <c r="I23" s="9" t="n">
        <v>536</v>
      </c>
      <c r="J23" s="6" t="s">
        <v>35</v>
      </c>
      <c r="K23" s="6" t="str">
        <f aca="false">VLOOKUP(C23,Tabla_Marcas!$A$2:$D$5,2,FALSE())</f>
        <v>Carlos Ruiz</v>
      </c>
      <c r="L23" s="8" t="n">
        <f aca="false">_xlfn.XLOOKUP(C23, Tabla_Marcas!$A$2:$A$5, Tabla_Marcas!$C$2:$C$5)</f>
        <v>120000</v>
      </c>
      <c r="M23" s="18" t="n">
        <f aca="false">H23/G23</f>
        <v>0.0307228058373008</v>
      </c>
      <c r="N23" s="19" t="n">
        <f aca="false">VLOOKUP(C23,Tabla_Marcas!$A$2:$D$5,4,FALSE())</f>
        <v>0.025</v>
      </c>
      <c r="O23" s="6" t="str">
        <f aca="false">IF(F23&lt;=E23,"Sí","No")</f>
        <v>Sí</v>
      </c>
      <c r="P23" s="6" t="str">
        <f aca="false">_xlfn.IFS(M23&gt;=N23*1.2,"Alto",M23&gt;=N23*0.8,"Medio",TRUE(),"Bajo")</f>
        <v>Alto</v>
      </c>
    </row>
    <row r="24" customFormat="false" ht="15" hidden="false" customHeight="false" outlineLevel="0" collapsed="false">
      <c r="A24" s="6" t="n">
        <v>23</v>
      </c>
      <c r="B24" s="7" t="n">
        <v>46157</v>
      </c>
      <c r="C24" s="6" t="s">
        <v>39</v>
      </c>
      <c r="D24" s="6" t="s">
        <v>54</v>
      </c>
      <c r="E24" s="8" t="n">
        <v>35000</v>
      </c>
      <c r="F24" s="8" t="n">
        <v>38500</v>
      </c>
      <c r="G24" s="9" t="n">
        <v>269186</v>
      </c>
      <c r="H24" s="9" t="n">
        <v>8582</v>
      </c>
      <c r="I24" s="9" t="n">
        <v>901</v>
      </c>
      <c r="J24" s="6" t="s">
        <v>45</v>
      </c>
      <c r="K24" s="6" t="str">
        <f aca="false">VLOOKUP(C24,Tabla_Marcas!$A$2:$D$5,2,FALSE())</f>
        <v>Marta Gómez</v>
      </c>
      <c r="L24" s="8" t="n">
        <f aca="false">_xlfn.XLOOKUP(C24, Tabla_Marcas!$A$2:$A$5, Tabla_Marcas!$C$2:$C$5)</f>
        <v>90000</v>
      </c>
      <c r="M24" s="18" t="n">
        <f aca="false">H24/G24</f>
        <v>0.0318813014049765</v>
      </c>
      <c r="N24" s="19" t="n">
        <f aca="false">VLOOKUP(C24,Tabla_Marcas!$A$2:$D$5,4,FALSE())</f>
        <v>0.018</v>
      </c>
      <c r="O24" s="6" t="str">
        <f aca="false">IF(F24&lt;=E24,"Sí","No")</f>
        <v>No</v>
      </c>
      <c r="P24" s="6" t="str">
        <f aca="false">_xlfn.IFS(M24&gt;=N24*1.2,"Alto",M24&gt;=N24*0.8,"Medio",TRUE(),"Bajo")</f>
        <v>Alto</v>
      </c>
    </row>
    <row r="25" customFormat="false" ht="15" hidden="false" customHeight="false" outlineLevel="0" collapsed="false">
      <c r="A25" s="6" t="n">
        <v>24</v>
      </c>
      <c r="B25" s="7" t="n">
        <v>46194</v>
      </c>
      <c r="C25" s="6" t="s">
        <v>41</v>
      </c>
      <c r="D25" s="6" t="s">
        <v>52</v>
      </c>
      <c r="E25" s="8" t="n">
        <v>25000</v>
      </c>
      <c r="F25" s="8" t="n">
        <v>23400</v>
      </c>
      <c r="G25" s="9" t="n">
        <v>93568</v>
      </c>
      <c r="H25" s="9" t="n">
        <v>1507</v>
      </c>
      <c r="I25" s="9" t="n">
        <v>148</v>
      </c>
      <c r="J25" s="6" t="s">
        <v>38</v>
      </c>
      <c r="K25" s="6" t="str">
        <f aca="false">VLOOKUP(C25,Tabla_Marcas!$A$2:$D$5,2,FALSE())</f>
        <v>Luis Peña</v>
      </c>
      <c r="L25" s="8" t="n">
        <f aca="false">_xlfn.XLOOKUP(C25, Tabla_Marcas!$A$2:$A$5, Tabla_Marcas!$C$2:$C$5)</f>
        <v>100000</v>
      </c>
      <c r="M25" s="18" t="n">
        <f aca="false">H25/G25</f>
        <v>0.0161059336525308</v>
      </c>
      <c r="N25" s="19" t="n">
        <f aca="false">VLOOKUP(C25,Tabla_Marcas!$A$2:$D$5,4,FALSE())</f>
        <v>0.022</v>
      </c>
      <c r="O25" s="6" t="str">
        <f aca="false">IF(F25&lt;=E25,"Sí","No")</f>
        <v>Sí</v>
      </c>
      <c r="P25" s="6" t="str">
        <f aca="false">_xlfn.IFS(M25&gt;=N25*1.2,"Alto",M25&gt;=N25*0.8,"Medio",TRUE(),"Bajo")</f>
        <v>Bajo</v>
      </c>
    </row>
    <row r="26" customFormat="false" ht="15" hidden="false" customHeight="false" outlineLevel="0" collapsed="false">
      <c r="A26" s="6" t="n">
        <v>25</v>
      </c>
      <c r="B26" s="7" t="n">
        <v>46025</v>
      </c>
      <c r="C26" s="6" t="s">
        <v>33</v>
      </c>
      <c r="D26" s="6" t="s">
        <v>55</v>
      </c>
      <c r="E26" s="8" t="n">
        <v>20000</v>
      </c>
      <c r="F26" s="8" t="n">
        <v>17500</v>
      </c>
      <c r="G26" s="9" t="n">
        <v>390879</v>
      </c>
      <c r="H26" s="9" t="n">
        <v>3679</v>
      </c>
      <c r="I26" s="9" t="n">
        <v>171</v>
      </c>
      <c r="J26" s="6" t="s">
        <v>45</v>
      </c>
      <c r="K26" s="6" t="str">
        <f aca="false">VLOOKUP(C26,Tabla_Marcas!$A$2:$D$5,2,FALSE())</f>
        <v>Ana Torres</v>
      </c>
      <c r="L26" s="8" t="n">
        <f aca="false">_xlfn.XLOOKUP(C26, Tabla_Marcas!$A$2:$A$5, Tabla_Marcas!$C$2:$C$5)</f>
        <v>150000</v>
      </c>
      <c r="M26" s="18" t="n">
        <f aca="false">H26/G26</f>
        <v>0.00941211986318017</v>
      </c>
      <c r="N26" s="19" t="n">
        <f aca="false">VLOOKUP(C26,Tabla_Marcas!$A$2:$D$5,4,FALSE())</f>
        <v>0.02</v>
      </c>
      <c r="O26" s="6" t="str">
        <f aca="false">IF(F26&lt;=E26,"Sí","No")</f>
        <v>Sí</v>
      </c>
      <c r="P26" s="6" t="str">
        <f aca="false">_xlfn.IFS(M26&gt;=N26*1.2,"Alto",M26&gt;=N26*0.8,"Medio",TRUE(),"Bajo")</f>
        <v>Bajo</v>
      </c>
    </row>
    <row r="27" customFormat="false" ht="15" hidden="false" customHeight="false" outlineLevel="0" collapsed="false">
      <c r="A27" s="6" t="n">
        <v>26</v>
      </c>
      <c r="B27" s="7" t="n">
        <v>46062</v>
      </c>
      <c r="C27" s="6" t="s">
        <v>36</v>
      </c>
      <c r="D27" s="6" t="s">
        <v>37</v>
      </c>
      <c r="E27" s="8" t="n">
        <v>25000</v>
      </c>
      <c r="F27" s="8" t="n">
        <v>25700</v>
      </c>
      <c r="G27" s="9" t="n">
        <v>206002</v>
      </c>
      <c r="H27" s="9" t="n">
        <v>4955</v>
      </c>
      <c r="I27" s="9" t="n">
        <v>304</v>
      </c>
      <c r="J27" s="6" t="s">
        <v>48</v>
      </c>
      <c r="K27" s="6" t="str">
        <f aca="false">VLOOKUP(C27,Tabla_Marcas!$A$2:$D$5,2,FALSE())</f>
        <v>Carlos Ruiz</v>
      </c>
      <c r="L27" s="8" t="n">
        <f aca="false">_xlfn.XLOOKUP(C27, Tabla_Marcas!$A$2:$A$5, Tabla_Marcas!$C$2:$C$5)</f>
        <v>120000</v>
      </c>
      <c r="M27" s="18" t="n">
        <f aca="false">H27/G27</f>
        <v>0.0240531645323832</v>
      </c>
      <c r="N27" s="19" t="n">
        <f aca="false">VLOOKUP(C27,Tabla_Marcas!$A$2:$D$5,4,FALSE())</f>
        <v>0.025</v>
      </c>
      <c r="O27" s="6" t="str">
        <f aca="false">IF(F27&lt;=E27,"Sí","No")</f>
        <v>No</v>
      </c>
      <c r="P27" s="6" t="str">
        <f aca="false">_xlfn.IFS(M27&gt;=N27*1.2,"Alto",M27&gt;=N27*0.8,"Medio",TRUE(),"Bajo")</f>
        <v>Medio</v>
      </c>
    </row>
    <row r="28" customFormat="false" ht="15" hidden="false" customHeight="false" outlineLevel="0" collapsed="false">
      <c r="A28" s="6" t="n">
        <v>27</v>
      </c>
      <c r="B28" s="7" t="n">
        <v>46096</v>
      </c>
      <c r="C28" s="6" t="s">
        <v>39</v>
      </c>
      <c r="D28" s="6" t="s">
        <v>40</v>
      </c>
      <c r="E28" s="8" t="n">
        <v>35000</v>
      </c>
      <c r="F28" s="8" t="n">
        <v>39400</v>
      </c>
      <c r="G28" s="9" t="n">
        <v>273416</v>
      </c>
      <c r="H28" s="9" t="n">
        <v>3436</v>
      </c>
      <c r="I28" s="9" t="n">
        <v>170</v>
      </c>
      <c r="J28" s="6" t="s">
        <v>38</v>
      </c>
      <c r="K28" s="6" t="str">
        <f aca="false">VLOOKUP(C28,Tabla_Marcas!$A$2:$D$5,2,FALSE())</f>
        <v>Marta Gómez</v>
      </c>
      <c r="L28" s="8" t="n">
        <f aca="false">_xlfn.XLOOKUP(C28, Tabla_Marcas!$A$2:$A$5, Tabla_Marcas!$C$2:$C$5)</f>
        <v>90000</v>
      </c>
      <c r="M28" s="18" t="n">
        <f aca="false">H28/G28</f>
        <v>0.0125669309769728</v>
      </c>
      <c r="N28" s="19" t="n">
        <f aca="false">VLOOKUP(C28,Tabla_Marcas!$A$2:$D$5,4,FALSE())</f>
        <v>0.018</v>
      </c>
      <c r="O28" s="6" t="str">
        <f aca="false">IF(F28&lt;=E28,"Sí","No")</f>
        <v>No</v>
      </c>
      <c r="P28" s="6" t="str">
        <f aca="false">_xlfn.IFS(M28&gt;=N28*1.2,"Alto",M28&gt;=N28*0.8,"Medio",TRUE(),"Bajo")</f>
        <v>Bajo</v>
      </c>
    </row>
    <row r="29" customFormat="false" ht="15" hidden="false" customHeight="false" outlineLevel="0" collapsed="false">
      <c r="A29" s="6" t="n">
        <v>28</v>
      </c>
      <c r="B29" s="7" t="n">
        <v>46133</v>
      </c>
      <c r="C29" s="6" t="s">
        <v>41</v>
      </c>
      <c r="D29" s="6" t="s">
        <v>52</v>
      </c>
      <c r="E29" s="8" t="n">
        <v>50000</v>
      </c>
      <c r="F29" s="8" t="n">
        <v>49700</v>
      </c>
      <c r="G29" s="9" t="n">
        <v>442245</v>
      </c>
      <c r="H29" s="9" t="n">
        <v>4112</v>
      </c>
      <c r="I29" s="9" t="n">
        <v>433</v>
      </c>
      <c r="J29" s="6" t="s">
        <v>48</v>
      </c>
      <c r="K29" s="6" t="str">
        <f aca="false">VLOOKUP(C29,Tabla_Marcas!$A$2:$D$5,2,FALSE())</f>
        <v>Luis Peña</v>
      </c>
      <c r="L29" s="8" t="n">
        <f aca="false">_xlfn.XLOOKUP(C29, Tabla_Marcas!$A$2:$A$5, Tabla_Marcas!$C$2:$C$5)</f>
        <v>100000</v>
      </c>
      <c r="M29" s="18" t="n">
        <f aca="false">H29/G29</f>
        <v>0.00929801354452849</v>
      </c>
      <c r="N29" s="19" t="n">
        <f aca="false">VLOOKUP(C29,Tabla_Marcas!$A$2:$D$5,4,FALSE())</f>
        <v>0.022</v>
      </c>
      <c r="O29" s="6" t="str">
        <f aca="false">IF(F29&lt;=E29,"Sí","No")</f>
        <v>Sí</v>
      </c>
      <c r="P29" s="6" t="str">
        <f aca="false">_xlfn.IFS(M29&gt;=N29*1.2,"Alto",M29&gt;=N29*0.8,"Medio",TRUE(),"Bajo")</f>
        <v>Bajo</v>
      </c>
    </row>
    <row r="30" customFormat="false" ht="15" hidden="false" customHeight="false" outlineLevel="0" collapsed="false">
      <c r="A30" s="6" t="n">
        <v>29</v>
      </c>
      <c r="B30" s="7" t="n">
        <v>46145</v>
      </c>
      <c r="C30" s="6" t="s">
        <v>33</v>
      </c>
      <c r="D30" s="6" t="s">
        <v>34</v>
      </c>
      <c r="E30" s="8" t="n">
        <v>50000</v>
      </c>
      <c r="F30" s="8" t="n">
        <v>55200</v>
      </c>
      <c r="G30" s="9" t="n">
        <v>479741</v>
      </c>
      <c r="H30" s="9" t="n">
        <v>13759</v>
      </c>
      <c r="I30" s="9" t="n">
        <v>892</v>
      </c>
      <c r="J30" s="6" t="s">
        <v>35</v>
      </c>
      <c r="K30" s="6" t="str">
        <f aca="false">VLOOKUP(C30,Tabla_Marcas!$A$2:$D$5,2,FALSE())</f>
        <v>Ana Torres</v>
      </c>
      <c r="L30" s="8" t="n">
        <f aca="false">_xlfn.XLOOKUP(C30, Tabla_Marcas!$A$2:$A$5, Tabla_Marcas!$C$2:$C$5)</f>
        <v>150000</v>
      </c>
      <c r="M30" s="18" t="n">
        <f aca="false">H30/G30</f>
        <v>0.028680058614961</v>
      </c>
      <c r="N30" s="19" t="n">
        <f aca="false">VLOOKUP(C30,Tabla_Marcas!$A$2:$D$5,4,FALSE())</f>
        <v>0.02</v>
      </c>
      <c r="O30" s="6" t="str">
        <f aca="false">IF(F30&lt;=E30,"Sí","No")</f>
        <v>No</v>
      </c>
      <c r="P30" s="6" t="str">
        <f aca="false">_xlfn.IFS(M30&gt;=N30*1.2,"Alto",M30&gt;=N30*0.8,"Medio",TRUE(),"Bajo")</f>
        <v>Alto</v>
      </c>
    </row>
    <row r="31" customFormat="false" ht="15" hidden="false" customHeight="false" outlineLevel="0" collapsed="false">
      <c r="A31" s="6" t="n">
        <v>30</v>
      </c>
      <c r="B31" s="7" t="n">
        <v>46182</v>
      </c>
      <c r="C31" s="6" t="s">
        <v>36</v>
      </c>
      <c r="D31" s="6" t="s">
        <v>47</v>
      </c>
      <c r="E31" s="8" t="n">
        <v>30000</v>
      </c>
      <c r="F31" s="8" t="n">
        <v>29900</v>
      </c>
      <c r="G31" s="9" t="n">
        <v>206037</v>
      </c>
      <c r="H31" s="9" t="n">
        <v>3935</v>
      </c>
      <c r="I31" s="9" t="n">
        <v>501</v>
      </c>
      <c r="J31" s="6" t="s">
        <v>38</v>
      </c>
      <c r="K31" s="6" t="str">
        <f aca="false">VLOOKUP(C31,Tabla_Marcas!$A$2:$D$5,2,FALSE())</f>
        <v>Carlos Ruiz</v>
      </c>
      <c r="L31" s="8" t="n">
        <f aca="false">_xlfn.XLOOKUP(C31, Tabla_Marcas!$A$2:$A$5, Tabla_Marcas!$C$2:$C$5)</f>
        <v>120000</v>
      </c>
      <c r="M31" s="18" t="n">
        <f aca="false">H31/G31</f>
        <v>0.0190985114324126</v>
      </c>
      <c r="N31" s="19" t="n">
        <f aca="false">VLOOKUP(C31,Tabla_Marcas!$A$2:$D$5,4,FALSE())</f>
        <v>0.025</v>
      </c>
      <c r="O31" s="6" t="str">
        <f aca="false">IF(F31&lt;=E31,"Sí","No")</f>
        <v>Sí</v>
      </c>
      <c r="P31" s="6" t="str">
        <f aca="false">_xlfn.IFS(M31&gt;=N31*1.2,"Alto",M31&gt;=N31*0.8,"Medio",TRUE(),"Bajo")</f>
        <v>Bajo</v>
      </c>
    </row>
    <row r="33" customFormat="false" ht="15" hidden="false" customHeight="false" outlineLevel="0" collapsed="false">
      <c r="A33" s="17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2026-08-05T02:23:31Z</dcterms:created>
  <dc:creator>openpyxl</dc:creator>
  <dc:description/>
  <dc:language>en-US</dc:language>
  <cp:lastModifiedBy/>
  <dcterms:modified xsi:type="dcterms:W3CDTF">2026-08-05T13:46:13Z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