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Datos" sheetId="2" state="visible" r:id="rId4"/>
    <sheet name="Tabla dinámica_Datos_1" sheetId="3" state="visible" r:id="rId5"/>
    <sheet name="Tabla_Redes" sheetId="4" state="visible" r:id="rId6"/>
    <sheet name="Ejercicios" sheetId="5" state="visible" r:id="rId7"/>
    <sheet name="Soluciones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<sst xmlns="http://schemas.openxmlformats.org/spreadsheetml/2006/main" count="359" uniqueCount="60">
  <si>
    <t xml:space="preserve">Práctica de Excel — Ejercicio 2 (mismo nivel, tema distinto)</t>
  </si>
  <si>
    <t xml:space="preserve">Mismo objetivo que el archivo anterior: BUSCARV, el equivalente a BUSCARX con INDEX+COINCIDIR, SI, SI.CONJUNTO y tabla dinámica. Esta vez con datos de redes sociales en lugar de presupuestos de campaña, para que practiques reconocer el mismo patrón en un contexto distinto.</t>
  </si>
  <si>
    <t xml:space="preserve">Cómo usar este archivo:</t>
  </si>
  <si>
    <t xml:space="preserve">1. Ve a la hoja 'Datos': 30 publicaciones de ejemplo en Instagram, TikTok, Facebook y X de las 4 marcas de radio.</t>
  </si>
  <si>
    <t xml:space="preserve">2. Ve a la hoja 'Tabla_Redes': tu tabla de referencia (responsable, meta de interacciones y objetivo de engagement por red social).</t>
  </si>
  <si>
    <t xml:space="preserve">3. Ve a la hoja 'Ejercicios': mismas 30 filas, más 6 columnas en amarillo para completar con fórmulas.</t>
  </si>
  <si>
    <t xml:space="preserve">4. Compara contra 'Soluciones' cuando termines o si te atoras.</t>
  </si>
  <si>
    <t xml:space="preserve">Qué hace cada columna amarilla:</t>
  </si>
  <si>
    <t xml:space="preserve">• Responsable (BUSCARV): busca en Tabla_Redes el nombre del responsable según la Red_Social de esa fila.</t>
  </si>
  <si>
    <t xml:space="preserve">• Meta_Interacciones (BUSCARX / INDEX+COINCIDIR): trae la meta de interacciones de esa red social desde Tabla_Redes.</t>
  </si>
  <si>
    <t xml:space="preserve">• Engagement_Rate: Interacciones dividido entre Alcance. División simple.</t>
  </si>
  <si>
    <t xml:space="preserve">• Objetivo_Engagement (BUSCARV otra vez): trae el objetivo de engagement de esa red social.</t>
  </si>
  <si>
    <t xml:space="preserve">• Cumplió_Meta (SI): compara Interacciones contra Meta_Interacciones y devuelve "Sí" o "No".</t>
  </si>
  <si>
    <t xml:space="preserve">• Nivel_Desempeño (SI.CONJUNTO): clasifica el Engagement_Rate contra el Objetivo_Engagement de esa red en "Alto", "Medio" o "Bajo".</t>
  </si>
  <si>
    <t xml:space="preserve">Diferencia clave a notar frente al ejercicio anterior:</t>
  </si>
  <si>
    <t xml:space="preserve">Ahí buscabas por 'Marca'; aquí buscas por 'Red_Social'. La lógica de la fórmula es idéntica — solo cambia qué columna usas como valor buscado. Si lo notas fácil, ya interiorizaste el patrón.</t>
  </si>
  <si>
    <t xml:space="preserve">Bonus: Tabla dinámica</t>
  </si>
  <si>
    <t xml:space="preserve">1. Selecciona toda la tabla de la hoja 'Datos'.</t>
  </si>
  <si>
    <t xml:space="preserve">2. Insertar → Tabla dinámica.</t>
  </si>
  <si>
    <t xml:space="preserve">3. Arrastra 'Marca' a Filas, 'Red_Social' a Columnas, e 'Interacciones' a Valores (suma).</t>
  </si>
  <si>
    <t xml:space="preserve">4. Así ves qué marca tiene mejor desempeño en cada red social — una vista que le sirve directo a tu equipo de contenido.</t>
  </si>
  <si>
    <t xml:space="preserve">Fecha</t>
  </si>
  <si>
    <t xml:space="preserve">Marca</t>
  </si>
  <si>
    <t xml:space="preserve">Red_Social</t>
  </si>
  <si>
    <t xml:space="preserve">Tipo_Contenido</t>
  </si>
  <si>
    <t xml:space="preserve">Alcance</t>
  </si>
  <si>
    <t xml:space="preserve">Interacciones</t>
  </si>
  <si>
    <t xml:space="preserve">Comentarios</t>
  </si>
  <si>
    <t xml:space="preserve">Compartidos</t>
  </si>
  <si>
    <t xml:space="preserve">Presupuesto_Boost</t>
  </si>
  <si>
    <t xml:space="preserve">W Radio</t>
  </si>
  <si>
    <t xml:space="preserve">Instagram</t>
  </si>
  <si>
    <t xml:space="preserve">Post</t>
  </si>
  <si>
    <t xml:space="preserve">LOS40</t>
  </si>
  <si>
    <t xml:space="preserve">TikTok</t>
  </si>
  <si>
    <t xml:space="preserve">Live</t>
  </si>
  <si>
    <t xml:space="preserve">La KeBuena</t>
  </si>
  <si>
    <t xml:space="preserve">Facebook</t>
  </si>
  <si>
    <t xml:space="preserve">W Deportes</t>
  </si>
  <si>
    <t xml:space="preserve">X</t>
  </si>
  <si>
    <t xml:space="preserve">Historia</t>
  </si>
  <si>
    <t xml:space="preserve">Video Corto</t>
  </si>
  <si>
    <t xml:space="preserve">Hilo</t>
  </si>
  <si>
    <t xml:space="preserve">Reel</t>
  </si>
  <si>
    <t xml:space="preserve">Video</t>
  </si>
  <si>
    <t xml:space="preserve">Suma - Interacciones</t>
  </si>
  <si>
    <t xml:space="preserve">Total Resultado</t>
  </si>
  <si>
    <t xml:space="preserve">Responsable</t>
  </si>
  <si>
    <t xml:space="preserve">Meta_Interacciones</t>
  </si>
  <si>
    <t xml:space="preserve">Objetivo_Engagement</t>
  </si>
  <si>
    <t xml:space="preserve">Sofía Nava</t>
  </si>
  <si>
    <t xml:space="preserve">Diego Marín</t>
  </si>
  <si>
    <t xml:space="preserve">Renata Cruz</t>
  </si>
  <si>
    <t xml:space="preserve">Pablo Islas</t>
  </si>
  <si>
    <t xml:space="preserve">ID</t>
  </si>
  <si>
    <t xml:space="preserve">Engagement_Rate</t>
  </si>
  <si>
    <t xml:space="preserve">Cumplió_Meta</t>
  </si>
  <si>
    <t xml:space="preserve">Nivel_Desempeño</t>
  </si>
  <si>
    <t xml:space="preserve">Amarillo = celdas para completar con tu propia fórmula.</t>
  </si>
  <si>
    <t xml:space="preserve">Estas son fórmulas de referencia. Intenta resolverlo tú primero en la hoja 'Ejercicios' antes de mirar aquí.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</si>
</sst>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\$#,##0"/>
    <numFmt numFmtId="168" formatCode="0.0%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6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1:J31" sheet="Datos"/>
  </cacheSource>
  <cacheFields count="10">
    <cacheField name="Columna A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Fecha" numFmtId="0">
      <sharedItems containsSemiMixedTypes="0" containsNonDate="0" containsDate="1" containsString="0" minDate="2026-01-03T00:00:00" maxDate="2026-06-21T00:00:00" count="12">
        <d v="2026-01-03T00:00:00"/>
        <d v="2026-01-15T00:00:00"/>
        <d v="2026-02-09T00:00:00"/>
        <d v="2026-02-21T00:00:00"/>
        <d v="2026-03-03T00:00:00"/>
        <d v="2026-03-15T00:00:00"/>
        <d v="2026-04-09T00:00:00"/>
        <d v="2026-04-21T00:00:00"/>
        <d v="2026-05-03T00:00:00"/>
        <d v="2026-05-15T00:00:00"/>
        <d v="2026-06-09T00:00:00"/>
        <d v="2026-06-21T00:00:00"/>
      </sharedItems>
    </cacheField>
    <cacheField name="Marca" numFmtId="0">
      <sharedItems count="4">
        <s v="La KeBuena"/>
        <s v="LOS40"/>
        <s v="W Deportes"/>
        <s v="W Radio"/>
      </sharedItems>
    </cacheField>
    <cacheField name="Red_Social" numFmtId="0">
      <sharedItems count="4">
        <s v="Facebook"/>
        <s v="Instagram"/>
        <s v="TikTok"/>
        <s v="X"/>
      </sharedItems>
    </cacheField>
    <cacheField name="Tipo_Contenido" numFmtId="0">
      <sharedItems count="7">
        <s v="Hilo"/>
        <s v="Historia"/>
        <s v="Live"/>
        <s v="Post"/>
        <s v="Reel"/>
        <s v="Video"/>
        <s v="Video Corto"/>
      </sharedItems>
    </cacheField>
    <cacheField name="Alcance" numFmtId="0">
      <sharedItems containsSemiMixedTypes="0" containsString="0" containsNumber="1" containsInteger="1" minValue="26829" maxValue="318010" count="30">
        <n v="26829"/>
        <n v="45408"/>
        <n v="47433"/>
        <n v="50309"/>
        <n v="51865"/>
        <n v="57247"/>
        <n v="64071"/>
        <n v="68676"/>
        <n v="69030"/>
        <n v="84821"/>
        <n v="91861"/>
        <n v="94088"/>
        <n v="94126"/>
        <n v="94683"/>
        <n v="110600"/>
        <n v="129403"/>
        <n v="141176"/>
        <n v="142976"/>
        <n v="165962"/>
        <n v="193322"/>
        <n v="205926"/>
        <n v="223703"/>
        <n v="254412"/>
        <n v="259109"/>
        <n v="265935"/>
        <n v="268668"/>
        <n v="303473"/>
        <n v="310891"/>
        <n v="311925"/>
        <n v="318010"/>
      </sharedItems>
    </cacheField>
    <cacheField name="Interacciones" numFmtId="0">
      <sharedItems containsSemiMixedTypes="0" containsString="0" containsNumber="1" containsInteger="1" minValue="1031" maxValue="28456" count="30">
        <n v="1031"/>
        <n v="1573"/>
        <n v="1997"/>
        <n v="2295"/>
        <n v="2764"/>
        <n v="3022"/>
        <n v="3078"/>
        <n v="3114"/>
        <n v="3779"/>
        <n v="3838"/>
        <n v="4046"/>
        <n v="4179"/>
        <n v="4197"/>
        <n v="4469"/>
        <n v="5500"/>
        <n v="6053"/>
        <n v="6132"/>
        <n v="8047"/>
        <n v="9396"/>
        <n v="10049"/>
        <n v="10069"/>
        <n v="10313"/>
        <n v="10411"/>
        <n v="10889"/>
        <n v="12132"/>
        <n v="12981"/>
        <n v="15265"/>
        <n v="20520"/>
        <n v="20980"/>
        <n v="28456"/>
      </sharedItems>
    </cacheField>
    <cacheField name="Comentarios" numFmtId="0">
      <sharedItems containsSemiMixedTypes="0" containsString="0" containsNumber="1" containsInteger="1" minValue="41" maxValue="2490" count="30">
        <n v="41"/>
        <n v="81"/>
        <n v="91"/>
        <n v="116"/>
        <n v="124"/>
        <n v="125"/>
        <n v="140"/>
        <n v="154"/>
        <n v="159"/>
        <n v="170"/>
        <n v="183"/>
        <n v="268"/>
        <n v="271"/>
        <n v="302"/>
        <n v="305"/>
        <n v="347"/>
        <n v="353"/>
        <n v="366"/>
        <n v="374"/>
        <n v="396"/>
        <n v="413"/>
        <n v="470"/>
        <n v="478"/>
        <n v="576"/>
        <n v="643"/>
        <n v="847"/>
        <n v="929"/>
        <n v="942"/>
        <n v="1774"/>
        <n v="2490"/>
      </sharedItems>
    </cacheField>
    <cacheField name="Compartidos" numFmtId="0">
      <sharedItems containsSemiMixedTypes="0" containsString="0" containsNumber="1" containsInteger="1" minValue="26" maxValue="1520" count="29">
        <n v="26"/>
        <n v="57"/>
        <n v="84"/>
        <n v="95"/>
        <n v="118"/>
        <n v="120"/>
        <n v="130"/>
        <n v="150"/>
        <n v="171"/>
        <n v="173"/>
        <n v="214"/>
        <n v="217"/>
        <n v="290"/>
        <n v="327"/>
        <n v="329"/>
        <n v="368"/>
        <n v="401"/>
        <n v="438"/>
        <n v="452"/>
        <n v="510"/>
        <n v="513"/>
        <n v="579"/>
        <n v="583"/>
        <n v="625"/>
        <n v="670"/>
        <n v="711"/>
        <n v="868"/>
        <n v="1055"/>
        <n v="1520"/>
      </sharedItems>
    </cacheField>
    <cacheField name="Presupuesto_Boost" numFmtId="0">
      <sharedItems containsSemiMixedTypes="0" containsString="0" containsNumber="1" containsInteger="1" minValue="0" maxValue="3000" count="6">
        <n v="0"/>
        <n v="500"/>
        <n v="1000"/>
        <n v="1500"/>
        <n v="2000"/>
        <n v="3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3"/>
    <x v="1"/>
    <x v="3"/>
    <x v="11"/>
    <x v="12"/>
    <x v="6"/>
    <x v="12"/>
    <x v="0"/>
  </r>
  <r>
    <x v="1"/>
    <x v="2"/>
    <x v="1"/>
    <x v="2"/>
    <x v="2"/>
    <x v="1"/>
    <x v="8"/>
    <x v="9"/>
    <x v="3"/>
    <x v="2"/>
  </r>
  <r>
    <x v="2"/>
    <x v="5"/>
    <x v="0"/>
    <x v="0"/>
    <x v="3"/>
    <x v="16"/>
    <x v="6"/>
    <x v="10"/>
    <x v="10"/>
    <x v="0"/>
  </r>
  <r>
    <x v="3"/>
    <x v="7"/>
    <x v="2"/>
    <x v="3"/>
    <x v="3"/>
    <x v="2"/>
    <x v="4"/>
    <x v="8"/>
    <x v="11"/>
    <x v="0"/>
  </r>
  <r>
    <x v="4"/>
    <x v="8"/>
    <x v="3"/>
    <x v="1"/>
    <x v="1"/>
    <x v="9"/>
    <x v="7"/>
    <x v="4"/>
    <x v="2"/>
    <x v="1"/>
  </r>
  <r>
    <x v="5"/>
    <x v="10"/>
    <x v="1"/>
    <x v="2"/>
    <x v="6"/>
    <x v="8"/>
    <x v="10"/>
    <x v="13"/>
    <x v="8"/>
    <x v="3"/>
  </r>
  <r>
    <x v="6"/>
    <x v="1"/>
    <x v="0"/>
    <x v="0"/>
    <x v="3"/>
    <x v="27"/>
    <x v="15"/>
    <x v="11"/>
    <x v="15"/>
    <x v="2"/>
  </r>
  <r>
    <x v="7"/>
    <x v="3"/>
    <x v="2"/>
    <x v="3"/>
    <x v="0"/>
    <x v="23"/>
    <x v="26"/>
    <x v="27"/>
    <x v="21"/>
    <x v="5"/>
  </r>
  <r>
    <x v="8"/>
    <x v="4"/>
    <x v="3"/>
    <x v="1"/>
    <x v="4"/>
    <x v="17"/>
    <x v="5"/>
    <x v="7"/>
    <x v="7"/>
    <x v="1"/>
  </r>
  <r>
    <x v="9"/>
    <x v="6"/>
    <x v="1"/>
    <x v="2"/>
    <x v="2"/>
    <x v="18"/>
    <x v="20"/>
    <x v="16"/>
    <x v="19"/>
    <x v="0"/>
  </r>
  <r>
    <x v="10"/>
    <x v="9"/>
    <x v="0"/>
    <x v="0"/>
    <x v="5"/>
    <x v="13"/>
    <x v="17"/>
    <x v="22"/>
    <x v="23"/>
    <x v="0"/>
  </r>
  <r>
    <x v="11"/>
    <x v="11"/>
    <x v="2"/>
    <x v="3"/>
    <x v="0"/>
    <x v="19"/>
    <x v="25"/>
    <x v="26"/>
    <x v="25"/>
    <x v="2"/>
  </r>
  <r>
    <x v="12"/>
    <x v="0"/>
    <x v="3"/>
    <x v="1"/>
    <x v="4"/>
    <x v="6"/>
    <x v="14"/>
    <x v="15"/>
    <x v="14"/>
    <x v="0"/>
  </r>
  <r>
    <x v="13"/>
    <x v="2"/>
    <x v="1"/>
    <x v="2"/>
    <x v="2"/>
    <x v="29"/>
    <x v="29"/>
    <x v="29"/>
    <x v="27"/>
    <x v="2"/>
  </r>
  <r>
    <x v="14"/>
    <x v="5"/>
    <x v="0"/>
    <x v="0"/>
    <x v="5"/>
    <x v="0"/>
    <x v="3"/>
    <x v="5"/>
    <x v="6"/>
    <x v="2"/>
  </r>
  <r>
    <x v="15"/>
    <x v="7"/>
    <x v="2"/>
    <x v="3"/>
    <x v="3"/>
    <x v="15"/>
    <x v="18"/>
    <x v="17"/>
    <x v="13"/>
    <x v="2"/>
  </r>
  <r>
    <x v="16"/>
    <x v="8"/>
    <x v="3"/>
    <x v="1"/>
    <x v="3"/>
    <x v="5"/>
    <x v="1"/>
    <x v="2"/>
    <x v="1"/>
    <x v="0"/>
  </r>
  <r>
    <x v="17"/>
    <x v="10"/>
    <x v="1"/>
    <x v="2"/>
    <x v="2"/>
    <x v="26"/>
    <x v="23"/>
    <x v="24"/>
    <x v="18"/>
    <x v="2"/>
  </r>
  <r>
    <x v="18"/>
    <x v="1"/>
    <x v="0"/>
    <x v="0"/>
    <x v="3"/>
    <x v="12"/>
    <x v="2"/>
    <x v="1"/>
    <x v="4"/>
    <x v="0"/>
  </r>
  <r>
    <x v="19"/>
    <x v="3"/>
    <x v="2"/>
    <x v="3"/>
    <x v="0"/>
    <x v="14"/>
    <x v="9"/>
    <x v="3"/>
    <x v="9"/>
    <x v="1"/>
  </r>
  <r>
    <x v="20"/>
    <x v="4"/>
    <x v="3"/>
    <x v="1"/>
    <x v="1"/>
    <x v="28"/>
    <x v="24"/>
    <x v="21"/>
    <x v="26"/>
    <x v="3"/>
  </r>
  <r>
    <x v="21"/>
    <x v="6"/>
    <x v="1"/>
    <x v="2"/>
    <x v="6"/>
    <x v="22"/>
    <x v="28"/>
    <x v="28"/>
    <x v="28"/>
    <x v="5"/>
  </r>
  <r>
    <x v="22"/>
    <x v="9"/>
    <x v="0"/>
    <x v="0"/>
    <x v="5"/>
    <x v="21"/>
    <x v="19"/>
    <x v="18"/>
    <x v="22"/>
    <x v="0"/>
  </r>
  <r>
    <x v="23"/>
    <x v="11"/>
    <x v="2"/>
    <x v="3"/>
    <x v="3"/>
    <x v="3"/>
    <x v="13"/>
    <x v="12"/>
    <x v="4"/>
    <x v="3"/>
  </r>
  <r>
    <x v="24"/>
    <x v="0"/>
    <x v="3"/>
    <x v="1"/>
    <x v="4"/>
    <x v="7"/>
    <x v="0"/>
    <x v="0"/>
    <x v="0"/>
    <x v="1"/>
  </r>
  <r>
    <x v="25"/>
    <x v="2"/>
    <x v="1"/>
    <x v="2"/>
    <x v="6"/>
    <x v="4"/>
    <x v="11"/>
    <x v="14"/>
    <x v="5"/>
    <x v="1"/>
  </r>
  <r>
    <x v="26"/>
    <x v="5"/>
    <x v="0"/>
    <x v="0"/>
    <x v="5"/>
    <x v="20"/>
    <x v="22"/>
    <x v="19"/>
    <x v="20"/>
    <x v="2"/>
  </r>
  <r>
    <x v="27"/>
    <x v="7"/>
    <x v="2"/>
    <x v="3"/>
    <x v="0"/>
    <x v="25"/>
    <x v="21"/>
    <x v="20"/>
    <x v="24"/>
    <x v="4"/>
  </r>
  <r>
    <x v="28"/>
    <x v="8"/>
    <x v="3"/>
    <x v="1"/>
    <x v="3"/>
    <x v="24"/>
    <x v="27"/>
    <x v="25"/>
    <x v="17"/>
    <x v="3"/>
  </r>
  <r>
    <x v="29"/>
    <x v="10"/>
    <x v="1"/>
    <x v="2"/>
    <x v="2"/>
    <x v="10"/>
    <x v="16"/>
    <x v="23"/>
    <x v="16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7" firstHeaderRow="1" firstDataRow="2" firstDataCol="1"/>
  <pivotFields count="10">
    <pivotField compact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a - Interacciones" fld="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2" customFormat="false" ht="17.35" hidden="false" customHeight="false" outlineLevel="0" collapsed="false">
      <c r="B2" s="2" t="s">
        <v>0</v>
      </c>
    </row>
    <row r="4" customFormat="false" ht="52.2" hidden="false" customHeight="false" outlineLevel="0" collapsed="false">
      <c r="B4" s="3" t="s">
        <v>1</v>
      </c>
    </row>
    <row r="6" customFormat="false" ht="15" hidden="false" customHeight="false" outlineLevel="0" collapsed="false">
      <c r="B6" s="3" t="s">
        <v>2</v>
      </c>
    </row>
    <row r="7" customFormat="false" ht="26.85" hidden="false" customHeight="false" outlineLevel="0" collapsed="false">
      <c r="B7" s="4" t="s">
        <v>3</v>
      </c>
    </row>
    <row r="8" customFormat="false" ht="26.8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26.85" hidden="false" customHeight="false" outlineLevel="0" collapsed="false">
      <c r="B13" s="4" t="s">
        <v>8</v>
      </c>
    </row>
    <row r="14" customFormat="false" ht="26.8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26.85" hidden="false" customHeight="false" outlineLevel="0" collapsed="false">
      <c r="B21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4" t="s">
        <v>19</v>
      </c>
    </row>
    <row r="27" customFormat="false" ht="26.85" hidden="false" customHeight="false" outlineLevel="0" collapsed="false">
      <c r="B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0" min="10" style="1" width="17"/>
  </cols>
  <sheetData>
    <row r="1" customFormat="false" ht="26.85" hidden="false" customHeight="false" outlineLevel="0" collapsed="false">
      <c r="A1" s="5"/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30</v>
      </c>
      <c r="D2" s="6" t="s">
        <v>31</v>
      </c>
      <c r="E2" s="6" t="s">
        <v>32</v>
      </c>
      <c r="F2" s="8" t="n">
        <v>94088</v>
      </c>
      <c r="G2" s="8" t="n">
        <v>4197</v>
      </c>
      <c r="H2" s="8" t="n">
        <v>140</v>
      </c>
      <c r="I2" s="8" t="n">
        <v>290</v>
      </c>
      <c r="J2" s="9" t="n">
        <v>0</v>
      </c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33</v>
      </c>
      <c r="D3" s="6" t="s">
        <v>34</v>
      </c>
      <c r="E3" s="6" t="s">
        <v>35</v>
      </c>
      <c r="F3" s="8" t="n">
        <v>45408</v>
      </c>
      <c r="G3" s="8" t="n">
        <v>3779</v>
      </c>
      <c r="H3" s="8" t="n">
        <v>170</v>
      </c>
      <c r="I3" s="8" t="n">
        <v>95</v>
      </c>
      <c r="J3" s="9" t="n">
        <v>1000</v>
      </c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36</v>
      </c>
      <c r="D4" s="6" t="s">
        <v>37</v>
      </c>
      <c r="E4" s="6" t="s">
        <v>32</v>
      </c>
      <c r="F4" s="8" t="n">
        <v>141176</v>
      </c>
      <c r="G4" s="8" t="n">
        <v>3078</v>
      </c>
      <c r="H4" s="8" t="n">
        <v>183</v>
      </c>
      <c r="I4" s="8" t="n">
        <v>214</v>
      </c>
      <c r="J4" s="9" t="n">
        <v>0</v>
      </c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38</v>
      </c>
      <c r="D5" s="6" t="s">
        <v>39</v>
      </c>
      <c r="E5" s="6" t="s">
        <v>32</v>
      </c>
      <c r="F5" s="8" t="n">
        <v>47433</v>
      </c>
      <c r="G5" s="8" t="n">
        <v>2764</v>
      </c>
      <c r="H5" s="8" t="n">
        <v>159</v>
      </c>
      <c r="I5" s="8" t="n">
        <v>217</v>
      </c>
      <c r="J5" s="9" t="n">
        <v>0</v>
      </c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30</v>
      </c>
      <c r="D6" s="6" t="s">
        <v>31</v>
      </c>
      <c r="E6" s="6" t="s">
        <v>40</v>
      </c>
      <c r="F6" s="8" t="n">
        <v>84821</v>
      </c>
      <c r="G6" s="8" t="n">
        <v>3114</v>
      </c>
      <c r="H6" s="8" t="n">
        <v>124</v>
      </c>
      <c r="I6" s="8" t="n">
        <v>84</v>
      </c>
      <c r="J6" s="9" t="n">
        <v>500</v>
      </c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33</v>
      </c>
      <c r="D7" s="6" t="s">
        <v>34</v>
      </c>
      <c r="E7" s="6" t="s">
        <v>41</v>
      </c>
      <c r="F7" s="8" t="n">
        <v>69030</v>
      </c>
      <c r="G7" s="8" t="n">
        <v>4046</v>
      </c>
      <c r="H7" s="8" t="n">
        <v>302</v>
      </c>
      <c r="I7" s="8" t="n">
        <v>171</v>
      </c>
      <c r="J7" s="9" t="n">
        <v>1500</v>
      </c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36</v>
      </c>
      <c r="D8" s="6" t="s">
        <v>37</v>
      </c>
      <c r="E8" s="6" t="s">
        <v>32</v>
      </c>
      <c r="F8" s="8" t="n">
        <v>310891</v>
      </c>
      <c r="G8" s="8" t="n">
        <v>6053</v>
      </c>
      <c r="H8" s="8" t="n">
        <v>268</v>
      </c>
      <c r="I8" s="8" t="n">
        <v>368</v>
      </c>
      <c r="J8" s="9" t="n">
        <v>1000</v>
      </c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38</v>
      </c>
      <c r="D9" s="6" t="s">
        <v>39</v>
      </c>
      <c r="E9" s="6" t="s">
        <v>42</v>
      </c>
      <c r="F9" s="8" t="n">
        <v>259109</v>
      </c>
      <c r="G9" s="8" t="n">
        <v>15265</v>
      </c>
      <c r="H9" s="8" t="n">
        <v>942</v>
      </c>
      <c r="I9" s="8" t="n">
        <v>579</v>
      </c>
      <c r="J9" s="9" t="n">
        <v>3000</v>
      </c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30</v>
      </c>
      <c r="D10" s="6" t="s">
        <v>31</v>
      </c>
      <c r="E10" s="6" t="s">
        <v>43</v>
      </c>
      <c r="F10" s="8" t="n">
        <v>142976</v>
      </c>
      <c r="G10" s="8" t="n">
        <v>3022</v>
      </c>
      <c r="H10" s="8" t="n">
        <v>154</v>
      </c>
      <c r="I10" s="8" t="n">
        <v>150</v>
      </c>
      <c r="J10" s="9" t="n">
        <v>500</v>
      </c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33</v>
      </c>
      <c r="D11" s="6" t="s">
        <v>34</v>
      </c>
      <c r="E11" s="6" t="s">
        <v>35</v>
      </c>
      <c r="F11" s="8" t="n">
        <v>165962</v>
      </c>
      <c r="G11" s="8" t="n">
        <v>10069</v>
      </c>
      <c r="H11" s="8" t="n">
        <v>353</v>
      </c>
      <c r="I11" s="8" t="n">
        <v>510</v>
      </c>
      <c r="J11" s="9" t="n">
        <v>0</v>
      </c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36</v>
      </c>
      <c r="D12" s="6" t="s">
        <v>37</v>
      </c>
      <c r="E12" s="6" t="s">
        <v>44</v>
      </c>
      <c r="F12" s="8" t="n">
        <v>94683</v>
      </c>
      <c r="G12" s="8" t="n">
        <v>8047</v>
      </c>
      <c r="H12" s="8" t="n">
        <v>478</v>
      </c>
      <c r="I12" s="8" t="n">
        <v>625</v>
      </c>
      <c r="J12" s="9" t="n">
        <v>0</v>
      </c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38</v>
      </c>
      <c r="D13" s="6" t="s">
        <v>39</v>
      </c>
      <c r="E13" s="6" t="s">
        <v>42</v>
      </c>
      <c r="F13" s="8" t="n">
        <v>193322</v>
      </c>
      <c r="G13" s="8" t="n">
        <v>12981</v>
      </c>
      <c r="H13" s="8" t="n">
        <v>929</v>
      </c>
      <c r="I13" s="8" t="n">
        <v>711</v>
      </c>
      <c r="J13" s="9" t="n">
        <v>1000</v>
      </c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30</v>
      </c>
      <c r="D14" s="6" t="s">
        <v>31</v>
      </c>
      <c r="E14" s="6" t="s">
        <v>43</v>
      </c>
      <c r="F14" s="8" t="n">
        <v>64071</v>
      </c>
      <c r="G14" s="8" t="n">
        <v>5500</v>
      </c>
      <c r="H14" s="8" t="n">
        <v>347</v>
      </c>
      <c r="I14" s="8" t="n">
        <v>329</v>
      </c>
      <c r="J14" s="9" t="n">
        <v>0</v>
      </c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33</v>
      </c>
      <c r="D15" s="6" t="s">
        <v>34</v>
      </c>
      <c r="E15" s="6" t="s">
        <v>35</v>
      </c>
      <c r="F15" s="8" t="n">
        <v>318010</v>
      </c>
      <c r="G15" s="8" t="n">
        <v>28456</v>
      </c>
      <c r="H15" s="8" t="n">
        <v>2490</v>
      </c>
      <c r="I15" s="8" t="n">
        <v>1055</v>
      </c>
      <c r="J15" s="9" t="n">
        <v>1000</v>
      </c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36</v>
      </c>
      <c r="D16" s="6" t="s">
        <v>37</v>
      </c>
      <c r="E16" s="6" t="s">
        <v>44</v>
      </c>
      <c r="F16" s="8" t="n">
        <v>26829</v>
      </c>
      <c r="G16" s="8" t="n">
        <v>2295</v>
      </c>
      <c r="H16" s="8" t="n">
        <v>125</v>
      </c>
      <c r="I16" s="8" t="n">
        <v>130</v>
      </c>
      <c r="J16" s="9" t="n">
        <v>1000</v>
      </c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38</v>
      </c>
      <c r="D17" s="6" t="s">
        <v>39</v>
      </c>
      <c r="E17" s="6" t="s">
        <v>32</v>
      </c>
      <c r="F17" s="8" t="n">
        <v>129403</v>
      </c>
      <c r="G17" s="8" t="n">
        <v>9396</v>
      </c>
      <c r="H17" s="8" t="n">
        <v>366</v>
      </c>
      <c r="I17" s="8" t="n">
        <v>327</v>
      </c>
      <c r="J17" s="9" t="n">
        <v>1000</v>
      </c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30</v>
      </c>
      <c r="D18" s="6" t="s">
        <v>31</v>
      </c>
      <c r="E18" s="6" t="s">
        <v>32</v>
      </c>
      <c r="F18" s="8" t="n">
        <v>57247</v>
      </c>
      <c r="G18" s="8" t="n">
        <v>1573</v>
      </c>
      <c r="H18" s="8" t="n">
        <v>91</v>
      </c>
      <c r="I18" s="8" t="n">
        <v>57</v>
      </c>
      <c r="J18" s="9" t="n">
        <v>0</v>
      </c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33</v>
      </c>
      <c r="D19" s="6" t="s">
        <v>34</v>
      </c>
      <c r="E19" s="6" t="s">
        <v>35</v>
      </c>
      <c r="F19" s="8" t="n">
        <v>303473</v>
      </c>
      <c r="G19" s="8" t="n">
        <v>10889</v>
      </c>
      <c r="H19" s="8" t="n">
        <v>643</v>
      </c>
      <c r="I19" s="8" t="n">
        <v>452</v>
      </c>
      <c r="J19" s="9" t="n">
        <v>1000</v>
      </c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36</v>
      </c>
      <c r="D20" s="6" t="s">
        <v>37</v>
      </c>
      <c r="E20" s="6" t="s">
        <v>32</v>
      </c>
      <c r="F20" s="8" t="n">
        <v>94126</v>
      </c>
      <c r="G20" s="8" t="n">
        <v>1997</v>
      </c>
      <c r="H20" s="8" t="n">
        <v>81</v>
      </c>
      <c r="I20" s="8" t="n">
        <v>118</v>
      </c>
      <c r="J20" s="9" t="n">
        <v>0</v>
      </c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38</v>
      </c>
      <c r="D21" s="6" t="s">
        <v>39</v>
      </c>
      <c r="E21" s="6" t="s">
        <v>42</v>
      </c>
      <c r="F21" s="8" t="n">
        <v>110600</v>
      </c>
      <c r="G21" s="8" t="n">
        <v>3838</v>
      </c>
      <c r="H21" s="8" t="n">
        <v>116</v>
      </c>
      <c r="I21" s="8" t="n">
        <v>173</v>
      </c>
      <c r="J21" s="9" t="n">
        <v>500</v>
      </c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30</v>
      </c>
      <c r="D22" s="6" t="s">
        <v>31</v>
      </c>
      <c r="E22" s="6" t="s">
        <v>40</v>
      </c>
      <c r="F22" s="8" t="n">
        <v>311925</v>
      </c>
      <c r="G22" s="8" t="n">
        <v>12132</v>
      </c>
      <c r="H22" s="8" t="n">
        <v>470</v>
      </c>
      <c r="I22" s="8" t="n">
        <v>868</v>
      </c>
      <c r="J22" s="9" t="n">
        <v>1500</v>
      </c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33</v>
      </c>
      <c r="D23" s="6" t="s">
        <v>34</v>
      </c>
      <c r="E23" s="6" t="s">
        <v>41</v>
      </c>
      <c r="F23" s="8" t="n">
        <v>254412</v>
      </c>
      <c r="G23" s="8" t="n">
        <v>20980</v>
      </c>
      <c r="H23" s="8" t="n">
        <v>1774</v>
      </c>
      <c r="I23" s="8" t="n">
        <v>1520</v>
      </c>
      <c r="J23" s="9" t="n">
        <v>3000</v>
      </c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36</v>
      </c>
      <c r="D24" s="6" t="s">
        <v>37</v>
      </c>
      <c r="E24" s="6" t="s">
        <v>44</v>
      </c>
      <c r="F24" s="8" t="n">
        <v>223703</v>
      </c>
      <c r="G24" s="8" t="n">
        <v>10049</v>
      </c>
      <c r="H24" s="8" t="n">
        <v>374</v>
      </c>
      <c r="I24" s="8" t="n">
        <v>583</v>
      </c>
      <c r="J24" s="9" t="n">
        <v>0</v>
      </c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38</v>
      </c>
      <c r="D25" s="6" t="s">
        <v>39</v>
      </c>
      <c r="E25" s="6" t="s">
        <v>32</v>
      </c>
      <c r="F25" s="8" t="n">
        <v>50309</v>
      </c>
      <c r="G25" s="8" t="n">
        <v>4469</v>
      </c>
      <c r="H25" s="8" t="n">
        <v>271</v>
      </c>
      <c r="I25" s="8" t="n">
        <v>118</v>
      </c>
      <c r="J25" s="9" t="n">
        <v>1500</v>
      </c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30</v>
      </c>
      <c r="D26" s="6" t="s">
        <v>31</v>
      </c>
      <c r="E26" s="6" t="s">
        <v>43</v>
      </c>
      <c r="F26" s="8" t="n">
        <v>68676</v>
      </c>
      <c r="G26" s="8" t="n">
        <v>1031</v>
      </c>
      <c r="H26" s="8" t="n">
        <v>41</v>
      </c>
      <c r="I26" s="8" t="n">
        <v>26</v>
      </c>
      <c r="J26" s="9" t="n">
        <v>500</v>
      </c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33</v>
      </c>
      <c r="D27" s="6" t="s">
        <v>34</v>
      </c>
      <c r="E27" s="6" t="s">
        <v>41</v>
      </c>
      <c r="F27" s="8" t="n">
        <v>51865</v>
      </c>
      <c r="G27" s="8" t="n">
        <v>4179</v>
      </c>
      <c r="H27" s="8" t="n">
        <v>305</v>
      </c>
      <c r="I27" s="8" t="n">
        <v>120</v>
      </c>
      <c r="J27" s="9" t="n">
        <v>500</v>
      </c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36</v>
      </c>
      <c r="D28" s="6" t="s">
        <v>37</v>
      </c>
      <c r="E28" s="6" t="s">
        <v>44</v>
      </c>
      <c r="F28" s="8" t="n">
        <v>205926</v>
      </c>
      <c r="G28" s="8" t="n">
        <v>10411</v>
      </c>
      <c r="H28" s="8" t="n">
        <v>396</v>
      </c>
      <c r="I28" s="8" t="n">
        <v>513</v>
      </c>
      <c r="J28" s="9" t="n">
        <v>1000</v>
      </c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38</v>
      </c>
      <c r="D29" s="6" t="s">
        <v>39</v>
      </c>
      <c r="E29" s="6" t="s">
        <v>42</v>
      </c>
      <c r="F29" s="8" t="n">
        <v>268668</v>
      </c>
      <c r="G29" s="8" t="n">
        <v>10313</v>
      </c>
      <c r="H29" s="8" t="n">
        <v>413</v>
      </c>
      <c r="I29" s="8" t="n">
        <v>670</v>
      </c>
      <c r="J29" s="9" t="n">
        <v>2000</v>
      </c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30</v>
      </c>
      <c r="D30" s="6" t="s">
        <v>31</v>
      </c>
      <c r="E30" s="6" t="s">
        <v>32</v>
      </c>
      <c r="F30" s="8" t="n">
        <v>265935</v>
      </c>
      <c r="G30" s="8" t="n">
        <v>20520</v>
      </c>
      <c r="H30" s="8" t="n">
        <v>847</v>
      </c>
      <c r="I30" s="8" t="n">
        <v>438</v>
      </c>
      <c r="J30" s="9" t="n">
        <v>1500</v>
      </c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33</v>
      </c>
      <c r="D31" s="6" t="s">
        <v>34</v>
      </c>
      <c r="E31" s="6" t="s">
        <v>35</v>
      </c>
      <c r="F31" s="8" t="n">
        <v>91861</v>
      </c>
      <c r="G31" s="8" t="n">
        <v>6132</v>
      </c>
      <c r="H31" s="8" t="n">
        <v>576</v>
      </c>
      <c r="I31" s="8" t="n">
        <v>401</v>
      </c>
      <c r="J31" s="9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45</v>
      </c>
      <c r="B1" s="11" t="s">
        <v>23</v>
      </c>
      <c r="C1" s="12"/>
      <c r="D1" s="12"/>
      <c r="E1" s="12"/>
      <c r="F1" s="13"/>
    </row>
    <row r="2" customFormat="false" ht="12.8" hidden="false" customHeight="false" outlineLevel="0" collapsed="false">
      <c r="A2" s="14" t="s">
        <v>22</v>
      </c>
      <c r="B2" s="15" t="s">
        <v>37</v>
      </c>
      <c r="C2" s="16" t="s">
        <v>31</v>
      </c>
      <c r="D2" s="16" t="s">
        <v>34</v>
      </c>
      <c r="E2" s="16" t="s">
        <v>39</v>
      </c>
      <c r="F2" s="17" t="s">
        <v>46</v>
      </c>
    </row>
    <row r="3" customFormat="false" ht="12.8" hidden="false" customHeight="false" outlineLevel="0" collapsed="false">
      <c r="A3" s="18" t="s">
        <v>36</v>
      </c>
      <c r="B3" s="19" t="n">
        <v>41930</v>
      </c>
      <c r="C3" s="20"/>
      <c r="D3" s="20"/>
      <c r="E3" s="21"/>
      <c r="F3" s="22" t="n">
        <v>41930</v>
      </c>
    </row>
    <row r="4" customFormat="false" ht="12.8" hidden="false" customHeight="false" outlineLevel="0" collapsed="false">
      <c r="A4" s="23" t="s">
        <v>33</v>
      </c>
      <c r="B4" s="24"/>
      <c r="C4" s="25"/>
      <c r="D4" s="26" t="n">
        <v>88530</v>
      </c>
      <c r="E4" s="27"/>
      <c r="F4" s="28" t="n">
        <v>88530</v>
      </c>
    </row>
    <row r="5" customFormat="false" ht="12.8" hidden="false" customHeight="false" outlineLevel="0" collapsed="false">
      <c r="A5" s="23" t="s">
        <v>38</v>
      </c>
      <c r="B5" s="24"/>
      <c r="C5" s="25"/>
      <c r="D5" s="25"/>
      <c r="E5" s="29" t="n">
        <v>59026</v>
      </c>
      <c r="F5" s="28" t="n">
        <v>59026</v>
      </c>
    </row>
    <row r="6" customFormat="false" ht="12.8" hidden="false" customHeight="false" outlineLevel="0" collapsed="false">
      <c r="A6" s="23" t="s">
        <v>30</v>
      </c>
      <c r="B6" s="30"/>
      <c r="C6" s="31" t="n">
        <v>51089</v>
      </c>
      <c r="D6" s="32"/>
      <c r="E6" s="33"/>
      <c r="F6" s="34" t="n">
        <v>51089</v>
      </c>
    </row>
    <row r="7" customFormat="false" ht="12.8" hidden="false" customHeight="false" outlineLevel="0" collapsed="false">
      <c r="A7" s="35" t="s">
        <v>46</v>
      </c>
      <c r="B7" s="36" t="n">
        <v>41930</v>
      </c>
      <c r="C7" s="37" t="n">
        <v>51089</v>
      </c>
      <c r="D7" s="37" t="n">
        <v>88530</v>
      </c>
      <c r="E7" s="38" t="n">
        <v>59026</v>
      </c>
      <c r="F7" s="39" t="n">
        <v>240575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4" min="3" style="1" width="19"/>
  </cols>
  <sheetData>
    <row r="1" customFormat="false" ht="26.85" hidden="false" customHeight="false" outlineLevel="0" collapsed="false">
      <c r="A1" s="5" t="s">
        <v>23</v>
      </c>
      <c r="B1" s="5" t="s">
        <v>47</v>
      </c>
      <c r="C1" s="5" t="s">
        <v>48</v>
      </c>
      <c r="D1" s="5" t="s">
        <v>49</v>
      </c>
    </row>
    <row r="2" customFormat="false" ht="15" hidden="false" customHeight="false" outlineLevel="0" collapsed="false">
      <c r="A2" s="40" t="s">
        <v>31</v>
      </c>
      <c r="B2" s="40" t="s">
        <v>50</v>
      </c>
      <c r="C2" s="41" t="n">
        <v>8000</v>
      </c>
      <c r="D2" s="42" t="n">
        <v>0.035</v>
      </c>
    </row>
    <row r="3" customFormat="false" ht="15" hidden="false" customHeight="false" outlineLevel="0" collapsed="false">
      <c r="A3" s="40" t="s">
        <v>34</v>
      </c>
      <c r="B3" s="40" t="s">
        <v>51</v>
      </c>
      <c r="C3" s="41" t="n">
        <v>12000</v>
      </c>
      <c r="D3" s="42" t="n">
        <v>0.055</v>
      </c>
    </row>
    <row r="4" customFormat="false" ht="15" hidden="false" customHeight="false" outlineLevel="0" collapsed="false">
      <c r="A4" s="40" t="s">
        <v>37</v>
      </c>
      <c r="B4" s="40" t="s">
        <v>52</v>
      </c>
      <c r="C4" s="41" t="n">
        <v>4000</v>
      </c>
      <c r="D4" s="42" t="n">
        <v>0.02</v>
      </c>
    </row>
    <row r="5" customFormat="false" ht="15" hidden="false" customHeight="false" outlineLevel="0" collapsed="false">
      <c r="A5" s="40" t="s">
        <v>39</v>
      </c>
      <c r="B5" s="40" t="s">
        <v>53</v>
      </c>
      <c r="C5" s="41" t="n">
        <v>3000</v>
      </c>
      <c r="D5" s="42" t="n">
        <v>0.018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Q4" activeCellId="0" sqref="Q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0" min="10" style="1" width="17"/>
    <col collapsed="false" customWidth="true" hidden="false" outlineLevel="0" max="11" min="11" style="1" width="16"/>
    <col collapsed="false" customWidth="true" hidden="false" outlineLevel="0" max="12" min="12" style="1" width="19"/>
    <col collapsed="false" customWidth="true" hidden="false" outlineLevel="0" max="13" min="13" style="1" width="15"/>
    <col collapsed="false" customWidth="true" hidden="false" outlineLevel="0" max="14" min="14" style="1" width="19"/>
    <col collapsed="false" customWidth="true" hidden="false" outlineLevel="0" max="15" min="15" style="1" width="15"/>
    <col collapsed="false" customWidth="true" hidden="false" outlineLevel="0" max="16" min="16" style="1" width="16"/>
  </cols>
  <sheetData>
    <row r="1" customFormat="false" ht="26.85" hidden="false" customHeight="false" outlineLevel="0" collapsed="false">
      <c r="A1" s="5" t="s">
        <v>54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47</v>
      </c>
      <c r="L1" s="5" t="s">
        <v>48</v>
      </c>
      <c r="M1" s="5" t="s">
        <v>55</v>
      </c>
      <c r="N1" s="5" t="s">
        <v>49</v>
      </c>
      <c r="O1" s="5" t="s">
        <v>56</v>
      </c>
      <c r="P1" s="5" t="s">
        <v>57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30</v>
      </c>
      <c r="D2" s="6" t="s">
        <v>31</v>
      </c>
      <c r="E2" s="6" t="s">
        <v>32</v>
      </c>
      <c r="F2" s="8" t="n">
        <v>94088</v>
      </c>
      <c r="G2" s="8" t="n">
        <v>4197</v>
      </c>
      <c r="H2" s="8" t="n">
        <v>140</v>
      </c>
      <c r="I2" s="8" t="n">
        <v>290</v>
      </c>
      <c r="J2" s="9" t="n">
        <v>0</v>
      </c>
      <c r="K2" s="43" t="str">
        <f aca="false">VLOOKUP(D2,Tabla_Redes!$A$2:$D$5,2,0)</f>
        <v>Sofía Nava</v>
      </c>
      <c r="L2" s="44" t="n">
        <f aca="false">_xlfn.XLOOKUP(D2,Tabla_Redes!A:A,Tabla_Redes!C:C)</f>
        <v>8000</v>
      </c>
      <c r="M2" s="45" t="n">
        <f aca="false">G2/F2</f>
        <v>0.0446071762605221</v>
      </c>
      <c r="N2" s="45" t="n">
        <f aca="false">VLOOKUP(D2,Tabla_Redes!$A$2:$D$5,4,0)</f>
        <v>0.035</v>
      </c>
      <c r="O2" s="43" t="str">
        <f aca="false">IF(G2&gt;=L2,"si","no")</f>
        <v>no</v>
      </c>
      <c r="P2" s="43" t="str">
        <f aca="false">_xlfn.IFS(M2&gt;=N2*1.2,"Alto",M2&gt;=N2*0.8,"Medio", TRUE(),"BAJO")</f>
        <v>Alto</v>
      </c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33</v>
      </c>
      <c r="D3" s="6" t="s">
        <v>34</v>
      </c>
      <c r="E3" s="6" t="s">
        <v>35</v>
      </c>
      <c r="F3" s="8" t="n">
        <v>45408</v>
      </c>
      <c r="G3" s="8" t="n">
        <v>3779</v>
      </c>
      <c r="H3" s="8" t="n">
        <v>170</v>
      </c>
      <c r="I3" s="8" t="n">
        <v>95</v>
      </c>
      <c r="J3" s="9" t="n">
        <v>1000</v>
      </c>
      <c r="K3" s="43" t="str">
        <f aca="false">VLOOKUP(D3,Tabla_Redes!$A$2:$D$5,2,0)</f>
        <v>Diego Marín</v>
      </c>
      <c r="L3" s="44" t="n">
        <f aca="false">_xlfn.XLOOKUP(D3,Tabla_Redes!A:A,Tabla_Redes!C:C)</f>
        <v>12000</v>
      </c>
      <c r="M3" s="45" t="n">
        <f aca="false">G3/F3</f>
        <v>0.0832232205778717</v>
      </c>
      <c r="N3" s="45" t="n">
        <f aca="false">VLOOKUP(D3,Tabla_Redes!$A$2:$D$5,4,0)</f>
        <v>0.055</v>
      </c>
      <c r="O3" s="43" t="str">
        <f aca="false">IF(G3&gt;=L3,"si","no")</f>
        <v>no</v>
      </c>
      <c r="P3" s="43" t="str">
        <f aca="false">_xlfn.IFS(M3&gt;=N3*1.2,"Alto",M3&gt;=N3*0.8,"Medio", TRUE(),"BAJO")</f>
        <v>Alto</v>
      </c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36</v>
      </c>
      <c r="D4" s="6" t="s">
        <v>37</v>
      </c>
      <c r="E4" s="6" t="s">
        <v>32</v>
      </c>
      <c r="F4" s="8" t="n">
        <v>141176</v>
      </c>
      <c r="G4" s="8" t="n">
        <v>3078</v>
      </c>
      <c r="H4" s="8" t="n">
        <v>183</v>
      </c>
      <c r="I4" s="8" t="n">
        <v>214</v>
      </c>
      <c r="J4" s="9" t="n">
        <v>0</v>
      </c>
      <c r="K4" s="43" t="str">
        <f aca="false">VLOOKUP(D4,Tabla_Redes!$A$2:$D$5,2,0)</f>
        <v>Renata Cruz</v>
      </c>
      <c r="L4" s="44" t="n">
        <f aca="false">_xlfn.XLOOKUP(D4,Tabla_Redes!A:A,Tabla_Redes!C:C)</f>
        <v>4000</v>
      </c>
      <c r="M4" s="45" t="n">
        <f aca="false">G4/F4</f>
        <v>0.0218025726752423</v>
      </c>
      <c r="N4" s="45" t="n">
        <f aca="false">VLOOKUP(D4,Tabla_Redes!$A$2:$D$5,4,0)</f>
        <v>0.02</v>
      </c>
      <c r="O4" s="43" t="str">
        <f aca="false">IF(G4&gt;=L4,"si","no")</f>
        <v>no</v>
      </c>
      <c r="P4" s="43" t="str">
        <f aca="false">_xlfn.IFS(M4&gt;=N4*1.2,"Alto",M4&gt;=N4*0.8,"Medio", TRUE(),"BAJO")</f>
        <v>Medio</v>
      </c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38</v>
      </c>
      <c r="D5" s="6" t="s">
        <v>39</v>
      </c>
      <c r="E5" s="6" t="s">
        <v>32</v>
      </c>
      <c r="F5" s="8" t="n">
        <v>47433</v>
      </c>
      <c r="G5" s="8" t="n">
        <v>2764</v>
      </c>
      <c r="H5" s="8" t="n">
        <v>159</v>
      </c>
      <c r="I5" s="8" t="n">
        <v>217</v>
      </c>
      <c r="J5" s="9" t="n">
        <v>0</v>
      </c>
      <c r="K5" s="43" t="str">
        <f aca="false">VLOOKUP(D5,Tabla_Redes!$A$2:$D$5,2,0)</f>
        <v>Pablo Islas</v>
      </c>
      <c r="L5" s="44" t="n">
        <f aca="false">_xlfn.XLOOKUP(D5,Tabla_Redes!A:A,Tabla_Redes!C:C)</f>
        <v>3000</v>
      </c>
      <c r="M5" s="45" t="n">
        <f aca="false">G5/F5</f>
        <v>0.0582716674045496</v>
      </c>
      <c r="N5" s="45" t="n">
        <f aca="false">VLOOKUP(D5,Tabla_Redes!$A$2:$D$5,4,0)</f>
        <v>0.018</v>
      </c>
      <c r="O5" s="43" t="str">
        <f aca="false">IF(G5&gt;=L5,"si","no")</f>
        <v>no</v>
      </c>
      <c r="P5" s="43" t="str">
        <f aca="false">_xlfn.IFS(M5&gt;=N5*1.2,"Alto",M5&gt;=N5*0.8,"Medio", TRUE(),"BAJO")</f>
        <v>Alto</v>
      </c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30</v>
      </c>
      <c r="D6" s="6" t="s">
        <v>31</v>
      </c>
      <c r="E6" s="6" t="s">
        <v>40</v>
      </c>
      <c r="F6" s="8" t="n">
        <v>84821</v>
      </c>
      <c r="G6" s="8" t="n">
        <v>3114</v>
      </c>
      <c r="H6" s="8" t="n">
        <v>124</v>
      </c>
      <c r="I6" s="8" t="n">
        <v>84</v>
      </c>
      <c r="J6" s="9" t="n">
        <v>500</v>
      </c>
      <c r="K6" s="43" t="str">
        <f aca="false">VLOOKUP(D6,Tabla_Redes!$A$2:$D$5,2,0)</f>
        <v>Sofía Nava</v>
      </c>
      <c r="L6" s="44" t="n">
        <f aca="false">_xlfn.XLOOKUP(D6,Tabla_Redes!A:A,Tabla_Redes!C:C)</f>
        <v>8000</v>
      </c>
      <c r="M6" s="45" t="n">
        <f aca="false">G6/F6</f>
        <v>0.0367126065479068</v>
      </c>
      <c r="N6" s="45" t="n">
        <f aca="false">VLOOKUP(D6,Tabla_Redes!$A$2:$D$5,4,0)</f>
        <v>0.035</v>
      </c>
      <c r="O6" s="43" t="str">
        <f aca="false">IF(G6&gt;=L6,"si","no")</f>
        <v>no</v>
      </c>
      <c r="P6" s="43" t="str">
        <f aca="false">_xlfn.IFS(M6&gt;=N6*1.2,"Alto",M6&gt;=N6*0.8,"Medio", TRUE(),"BAJO")</f>
        <v>Medio</v>
      </c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33</v>
      </c>
      <c r="D7" s="6" t="s">
        <v>34</v>
      </c>
      <c r="E7" s="6" t="s">
        <v>41</v>
      </c>
      <c r="F7" s="8" t="n">
        <v>69030</v>
      </c>
      <c r="G7" s="8" t="n">
        <v>4046</v>
      </c>
      <c r="H7" s="8" t="n">
        <v>302</v>
      </c>
      <c r="I7" s="8" t="n">
        <v>171</v>
      </c>
      <c r="J7" s="9" t="n">
        <v>1500</v>
      </c>
      <c r="K7" s="43" t="str">
        <f aca="false">VLOOKUP(D7,Tabla_Redes!$A$2:$D$5,2,0)</f>
        <v>Diego Marín</v>
      </c>
      <c r="L7" s="44" t="n">
        <f aca="false">_xlfn.XLOOKUP(D7,Tabla_Redes!A:A,Tabla_Redes!C:C)</f>
        <v>12000</v>
      </c>
      <c r="M7" s="45" t="n">
        <f aca="false">G7/F7</f>
        <v>0.0586121975952484</v>
      </c>
      <c r="N7" s="45" t="n">
        <f aca="false">VLOOKUP(D7,Tabla_Redes!$A$2:$D$5,4,0)</f>
        <v>0.055</v>
      </c>
      <c r="O7" s="43" t="str">
        <f aca="false">IF(G7&gt;=L7,"si","no")</f>
        <v>no</v>
      </c>
      <c r="P7" s="43" t="str">
        <f aca="false">_xlfn.IFS(M7&gt;=N7*1.2,"Alto",M7&gt;=N7*0.8,"Medio", TRUE(),"BAJO")</f>
        <v>Medio</v>
      </c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36</v>
      </c>
      <c r="D8" s="6" t="s">
        <v>37</v>
      </c>
      <c r="E8" s="6" t="s">
        <v>32</v>
      </c>
      <c r="F8" s="8" t="n">
        <v>310891</v>
      </c>
      <c r="G8" s="8" t="n">
        <v>6053</v>
      </c>
      <c r="H8" s="8" t="n">
        <v>268</v>
      </c>
      <c r="I8" s="8" t="n">
        <v>368</v>
      </c>
      <c r="J8" s="9" t="n">
        <v>1000</v>
      </c>
      <c r="K8" s="43" t="str">
        <f aca="false">VLOOKUP(D8,Tabla_Redes!$A$2:$D$5,2,0)</f>
        <v>Renata Cruz</v>
      </c>
      <c r="L8" s="44" t="n">
        <f aca="false">_xlfn.XLOOKUP(D8,Tabla_Redes!A:A,Tabla_Redes!C:C)</f>
        <v>4000</v>
      </c>
      <c r="M8" s="45" t="n">
        <f aca="false">G8/F8</f>
        <v>0.0194698463448604</v>
      </c>
      <c r="N8" s="45" t="n">
        <f aca="false">VLOOKUP(D8,Tabla_Redes!$A$2:$D$5,4,0)</f>
        <v>0.02</v>
      </c>
      <c r="O8" s="43" t="str">
        <f aca="false">IF(G8&gt;=L8,"si","no")</f>
        <v>si</v>
      </c>
      <c r="P8" s="43" t="str">
        <f aca="false">_xlfn.IFS(M8&gt;=N8*1.2,"Alto",M8&gt;=N8*0.8,"Medio", TRUE(),"BAJO")</f>
        <v>Medio</v>
      </c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38</v>
      </c>
      <c r="D9" s="6" t="s">
        <v>39</v>
      </c>
      <c r="E9" s="6" t="s">
        <v>42</v>
      </c>
      <c r="F9" s="8" t="n">
        <v>259109</v>
      </c>
      <c r="G9" s="8" t="n">
        <v>15265</v>
      </c>
      <c r="H9" s="8" t="n">
        <v>942</v>
      </c>
      <c r="I9" s="8" t="n">
        <v>579</v>
      </c>
      <c r="J9" s="9" t="n">
        <v>3000</v>
      </c>
      <c r="K9" s="43" t="str">
        <f aca="false">VLOOKUP(D9,Tabla_Redes!$A$2:$D$5,2,0)</f>
        <v>Pablo Islas</v>
      </c>
      <c r="L9" s="44" t="n">
        <f aca="false">_xlfn.XLOOKUP(D9,Tabla_Redes!A:A,Tabla_Redes!C:C)</f>
        <v>3000</v>
      </c>
      <c r="M9" s="45" t="n">
        <f aca="false">G9/F9</f>
        <v>0.0589134302552208</v>
      </c>
      <c r="N9" s="45" t="n">
        <f aca="false">VLOOKUP(D9,Tabla_Redes!$A$2:$D$5,4,0)</f>
        <v>0.018</v>
      </c>
      <c r="O9" s="43" t="str">
        <f aca="false">IF(G9&gt;=L9,"si","no")</f>
        <v>si</v>
      </c>
      <c r="P9" s="43" t="str">
        <f aca="false">_xlfn.IFS(M9&gt;=N9*1.2,"Alto",M9&gt;=N9*0.8,"Medio", TRUE(),"BAJO")</f>
        <v>Alto</v>
      </c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30</v>
      </c>
      <c r="D10" s="6" t="s">
        <v>31</v>
      </c>
      <c r="E10" s="6" t="s">
        <v>43</v>
      </c>
      <c r="F10" s="8" t="n">
        <v>142976</v>
      </c>
      <c r="G10" s="8" t="n">
        <v>3022</v>
      </c>
      <c r="H10" s="8" t="n">
        <v>154</v>
      </c>
      <c r="I10" s="8" t="n">
        <v>150</v>
      </c>
      <c r="J10" s="9" t="n">
        <v>500</v>
      </c>
      <c r="K10" s="43" t="str">
        <f aca="false">VLOOKUP(D10,Tabla_Redes!$A$2:$D$5,2,0)</f>
        <v>Sofía Nava</v>
      </c>
      <c r="L10" s="44" t="n">
        <f aca="false">_xlfn.XLOOKUP(D10,Tabla_Redes!A:A,Tabla_Redes!C:C)</f>
        <v>8000</v>
      </c>
      <c r="M10" s="45" t="n">
        <f aca="false">G10/F10</f>
        <v>0.0211364145031334</v>
      </c>
      <c r="N10" s="45" t="n">
        <f aca="false">VLOOKUP(D10,Tabla_Redes!$A$2:$D$5,4,0)</f>
        <v>0.035</v>
      </c>
      <c r="O10" s="43" t="str">
        <f aca="false">IF(G10&gt;=L10,"si","no")</f>
        <v>no</v>
      </c>
      <c r="P10" s="43" t="str">
        <f aca="false">_xlfn.IFS(M10&gt;=N10*1.2,"Alto",M10&gt;=N10*0.8,"Medio", TRUE(),"BAJO")</f>
        <v>BAJO</v>
      </c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33</v>
      </c>
      <c r="D11" s="6" t="s">
        <v>34</v>
      </c>
      <c r="E11" s="6" t="s">
        <v>35</v>
      </c>
      <c r="F11" s="8" t="n">
        <v>165962</v>
      </c>
      <c r="G11" s="8" t="n">
        <v>10069</v>
      </c>
      <c r="H11" s="8" t="n">
        <v>353</v>
      </c>
      <c r="I11" s="8" t="n">
        <v>510</v>
      </c>
      <c r="J11" s="9" t="n">
        <v>0</v>
      </c>
      <c r="K11" s="43" t="str">
        <f aca="false">VLOOKUP(D11,Tabla_Redes!$A$2:$D$5,2,0)</f>
        <v>Diego Marín</v>
      </c>
      <c r="L11" s="44" t="n">
        <f aca="false">_xlfn.XLOOKUP(D11,Tabla_Redes!A:A,Tabla_Redes!C:C)</f>
        <v>12000</v>
      </c>
      <c r="M11" s="45" t="n">
        <f aca="false">G11/F11</f>
        <v>0.0606705149371543</v>
      </c>
      <c r="N11" s="45" t="n">
        <f aca="false">VLOOKUP(D11,Tabla_Redes!$A$2:$D$5,4,0)</f>
        <v>0.055</v>
      </c>
      <c r="O11" s="43" t="str">
        <f aca="false">IF(G11&gt;=L11,"si","no")</f>
        <v>no</v>
      </c>
      <c r="P11" s="43" t="str">
        <f aca="false">_xlfn.IFS(M11&gt;=N11*1.2,"Alto",M11&gt;=N11*0.8,"Medio", TRUE(),"BAJO")</f>
        <v>Medio</v>
      </c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36</v>
      </c>
      <c r="D12" s="6" t="s">
        <v>37</v>
      </c>
      <c r="E12" s="6" t="s">
        <v>44</v>
      </c>
      <c r="F12" s="8" t="n">
        <v>94683</v>
      </c>
      <c r="G12" s="8" t="n">
        <v>8047</v>
      </c>
      <c r="H12" s="8" t="n">
        <v>478</v>
      </c>
      <c r="I12" s="8" t="n">
        <v>625</v>
      </c>
      <c r="J12" s="9" t="n">
        <v>0</v>
      </c>
      <c r="K12" s="43" t="str">
        <f aca="false">VLOOKUP(D12,Tabla_Redes!$A$2:$D$5,2,0)</f>
        <v>Renata Cruz</v>
      </c>
      <c r="L12" s="44" t="n">
        <f aca="false">_xlfn.XLOOKUP(D12,Tabla_Redes!A:A,Tabla_Redes!C:C)</f>
        <v>4000</v>
      </c>
      <c r="M12" s="45" t="n">
        <f aca="false">G12/F12</f>
        <v>0.0849888575562667</v>
      </c>
      <c r="N12" s="45" t="n">
        <f aca="false">VLOOKUP(D12,Tabla_Redes!$A$2:$D$5,4,0)</f>
        <v>0.02</v>
      </c>
      <c r="O12" s="43" t="str">
        <f aca="false">IF(G12&gt;=L12,"si","no")</f>
        <v>si</v>
      </c>
      <c r="P12" s="43" t="str">
        <f aca="false">_xlfn.IFS(M12&gt;=N12*1.2,"Alto",M12&gt;=N12*0.8,"Medio", TRUE(),"BAJO")</f>
        <v>Alto</v>
      </c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38</v>
      </c>
      <c r="D13" s="6" t="s">
        <v>39</v>
      </c>
      <c r="E13" s="6" t="s">
        <v>42</v>
      </c>
      <c r="F13" s="8" t="n">
        <v>193322</v>
      </c>
      <c r="G13" s="8" t="n">
        <v>12981</v>
      </c>
      <c r="H13" s="8" t="n">
        <v>929</v>
      </c>
      <c r="I13" s="8" t="n">
        <v>711</v>
      </c>
      <c r="J13" s="9" t="n">
        <v>1000</v>
      </c>
      <c r="K13" s="43" t="str">
        <f aca="false">VLOOKUP(D13,Tabla_Redes!$A$2:$D$5,2,0)</f>
        <v>Pablo Islas</v>
      </c>
      <c r="L13" s="44" t="n">
        <f aca="false">_xlfn.XLOOKUP(D13,Tabla_Redes!A:A,Tabla_Redes!C:C)</f>
        <v>3000</v>
      </c>
      <c r="M13" s="45" t="n">
        <f aca="false">G13/F13</f>
        <v>0.0671470396540487</v>
      </c>
      <c r="N13" s="45" t="n">
        <f aca="false">VLOOKUP(D13,Tabla_Redes!$A$2:$D$5,4,0)</f>
        <v>0.018</v>
      </c>
      <c r="O13" s="43" t="str">
        <f aca="false">IF(G13&gt;=L13,"si","no")</f>
        <v>si</v>
      </c>
      <c r="P13" s="43" t="str">
        <f aca="false">_xlfn.IFS(M13&gt;=N13*1.2,"Alto",M13&gt;=N13*0.8,"Medio", TRUE(),"BAJO")</f>
        <v>Alto</v>
      </c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30</v>
      </c>
      <c r="D14" s="6" t="s">
        <v>31</v>
      </c>
      <c r="E14" s="6" t="s">
        <v>43</v>
      </c>
      <c r="F14" s="8" t="n">
        <v>64071</v>
      </c>
      <c r="G14" s="8" t="n">
        <v>5500</v>
      </c>
      <c r="H14" s="8" t="n">
        <v>347</v>
      </c>
      <c r="I14" s="8" t="n">
        <v>329</v>
      </c>
      <c r="J14" s="9" t="n">
        <v>0</v>
      </c>
      <c r="K14" s="43" t="str">
        <f aca="false">VLOOKUP(D14,Tabla_Redes!$A$2:$D$5,2,0)</f>
        <v>Sofía Nava</v>
      </c>
      <c r="L14" s="44" t="n">
        <f aca="false">_xlfn.XLOOKUP(D14,Tabla_Redes!A:A,Tabla_Redes!C:C)</f>
        <v>8000</v>
      </c>
      <c r="M14" s="45" t="n">
        <f aca="false">G14/F14</f>
        <v>0.0858422687331242</v>
      </c>
      <c r="N14" s="45" t="n">
        <f aca="false">VLOOKUP(D14,Tabla_Redes!$A$2:$D$5,4,0)</f>
        <v>0.035</v>
      </c>
      <c r="O14" s="43" t="str">
        <f aca="false">IF(G14&gt;=L14,"si","no")</f>
        <v>no</v>
      </c>
      <c r="P14" s="43" t="str">
        <f aca="false">_xlfn.IFS(M14&gt;=N14*1.2,"Alto",M14&gt;=N14*0.8,"Medio", TRUE(),"BAJO")</f>
        <v>Alto</v>
      </c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33</v>
      </c>
      <c r="D15" s="6" t="s">
        <v>34</v>
      </c>
      <c r="E15" s="6" t="s">
        <v>35</v>
      </c>
      <c r="F15" s="8" t="n">
        <v>318010</v>
      </c>
      <c r="G15" s="8" t="n">
        <v>28456</v>
      </c>
      <c r="H15" s="8" t="n">
        <v>2490</v>
      </c>
      <c r="I15" s="8" t="n">
        <v>1055</v>
      </c>
      <c r="J15" s="9" t="n">
        <v>1000</v>
      </c>
      <c r="K15" s="43" t="str">
        <f aca="false">VLOOKUP(D15,Tabla_Redes!$A$2:$D$5,2,0)</f>
        <v>Diego Marín</v>
      </c>
      <c r="L15" s="44" t="n">
        <f aca="false">_xlfn.XLOOKUP(D15,Tabla_Redes!A:A,Tabla_Redes!C:C)</f>
        <v>12000</v>
      </c>
      <c r="M15" s="45" t="n">
        <f aca="false">G15/F15</f>
        <v>0.0894814628470803</v>
      </c>
      <c r="N15" s="45" t="n">
        <f aca="false">VLOOKUP(D15,Tabla_Redes!$A$2:$D$5,4,0)</f>
        <v>0.055</v>
      </c>
      <c r="O15" s="43" t="str">
        <f aca="false">IF(G15&gt;=L15,"si","no")</f>
        <v>si</v>
      </c>
      <c r="P15" s="43" t="str">
        <f aca="false">_xlfn.IFS(M15&gt;=N15*1.2,"Alto",M15&gt;=N15*0.8,"Medio", TRUE(),"BAJO")</f>
        <v>Alto</v>
      </c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36</v>
      </c>
      <c r="D16" s="6" t="s">
        <v>37</v>
      </c>
      <c r="E16" s="6" t="s">
        <v>44</v>
      </c>
      <c r="F16" s="8" t="n">
        <v>26829</v>
      </c>
      <c r="G16" s="8" t="n">
        <v>2295</v>
      </c>
      <c r="H16" s="8" t="n">
        <v>125</v>
      </c>
      <c r="I16" s="8" t="n">
        <v>130</v>
      </c>
      <c r="J16" s="9" t="n">
        <v>1000</v>
      </c>
      <c r="K16" s="43" t="str">
        <f aca="false">VLOOKUP(D16,Tabla_Redes!$A$2:$D$5,2,0)</f>
        <v>Renata Cruz</v>
      </c>
      <c r="L16" s="44" t="n">
        <f aca="false">_xlfn.XLOOKUP(D16,Tabla_Redes!A:A,Tabla_Redes!C:C)</f>
        <v>4000</v>
      </c>
      <c r="M16" s="45" t="n">
        <f aca="false">G16/F16</f>
        <v>0.0855417645085542</v>
      </c>
      <c r="N16" s="45" t="n">
        <f aca="false">VLOOKUP(D16,Tabla_Redes!$A$2:$D$5,4,0)</f>
        <v>0.02</v>
      </c>
      <c r="O16" s="43" t="str">
        <f aca="false">IF(G16&gt;=L16,"si","no")</f>
        <v>no</v>
      </c>
      <c r="P16" s="43" t="str">
        <f aca="false">_xlfn.IFS(M16&gt;=N16*1.2,"Alto",M16&gt;=N16*0.8,"Medio", TRUE(),"BAJO")</f>
        <v>Alto</v>
      </c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38</v>
      </c>
      <c r="D17" s="6" t="s">
        <v>39</v>
      </c>
      <c r="E17" s="6" t="s">
        <v>32</v>
      </c>
      <c r="F17" s="8" t="n">
        <v>129403</v>
      </c>
      <c r="G17" s="8" t="n">
        <v>9396</v>
      </c>
      <c r="H17" s="8" t="n">
        <v>366</v>
      </c>
      <c r="I17" s="8" t="n">
        <v>327</v>
      </c>
      <c r="J17" s="9" t="n">
        <v>1000</v>
      </c>
      <c r="K17" s="43" t="str">
        <f aca="false">VLOOKUP(D17,Tabla_Redes!$A$2:$D$5,2,0)</f>
        <v>Pablo Islas</v>
      </c>
      <c r="L17" s="44" t="n">
        <f aca="false">_xlfn.XLOOKUP(D17,Tabla_Redes!A:A,Tabla_Redes!C:C)</f>
        <v>3000</v>
      </c>
      <c r="M17" s="45" t="n">
        <f aca="false">G17/F17</f>
        <v>0.0726103722479386</v>
      </c>
      <c r="N17" s="45" t="n">
        <f aca="false">VLOOKUP(D17,Tabla_Redes!$A$2:$D$5,4,0)</f>
        <v>0.018</v>
      </c>
      <c r="O17" s="43" t="str">
        <f aca="false">IF(G17&gt;=L17,"si","no")</f>
        <v>si</v>
      </c>
      <c r="P17" s="43" t="str">
        <f aca="false">_xlfn.IFS(M17&gt;=N17*1.2,"Alto",M17&gt;=N17*0.8,"Medio", TRUE(),"BAJO")</f>
        <v>Alto</v>
      </c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30</v>
      </c>
      <c r="D18" s="6" t="s">
        <v>31</v>
      </c>
      <c r="E18" s="6" t="s">
        <v>32</v>
      </c>
      <c r="F18" s="8" t="n">
        <v>57247</v>
      </c>
      <c r="G18" s="8" t="n">
        <v>1573</v>
      </c>
      <c r="H18" s="8" t="n">
        <v>91</v>
      </c>
      <c r="I18" s="8" t="n">
        <v>57</v>
      </c>
      <c r="J18" s="9" t="n">
        <v>0</v>
      </c>
      <c r="K18" s="43" t="str">
        <f aca="false">VLOOKUP(D18,Tabla_Redes!$A$2:$D$5,2,0)</f>
        <v>Sofía Nava</v>
      </c>
      <c r="L18" s="44" t="n">
        <f aca="false">_xlfn.XLOOKUP(D18,Tabla_Redes!A:A,Tabla_Redes!C:C)</f>
        <v>8000</v>
      </c>
      <c r="M18" s="45" t="n">
        <f aca="false">G18/F18</f>
        <v>0.0274774223976802</v>
      </c>
      <c r="N18" s="45" t="n">
        <f aca="false">VLOOKUP(D18,Tabla_Redes!$A$2:$D$5,4,0)</f>
        <v>0.035</v>
      </c>
      <c r="O18" s="43" t="str">
        <f aca="false">IF(G18&gt;=L18,"si","no")</f>
        <v>no</v>
      </c>
      <c r="P18" s="43" t="str">
        <f aca="false">_xlfn.IFS(M18&gt;=N18*1.2,"Alto",M18&gt;=N18*0.8,"Medio", TRUE(),"BAJO")</f>
        <v>BAJO</v>
      </c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33</v>
      </c>
      <c r="D19" s="6" t="s">
        <v>34</v>
      </c>
      <c r="E19" s="6" t="s">
        <v>35</v>
      </c>
      <c r="F19" s="8" t="n">
        <v>303473</v>
      </c>
      <c r="G19" s="8" t="n">
        <v>10889</v>
      </c>
      <c r="H19" s="8" t="n">
        <v>643</v>
      </c>
      <c r="I19" s="8" t="n">
        <v>452</v>
      </c>
      <c r="J19" s="9" t="n">
        <v>1000</v>
      </c>
      <c r="K19" s="43" t="str">
        <f aca="false">VLOOKUP(D19,Tabla_Redes!$A$2:$D$5,2,0)</f>
        <v>Diego Marín</v>
      </c>
      <c r="L19" s="44" t="n">
        <f aca="false">_xlfn.XLOOKUP(D19,Tabla_Redes!A:A,Tabla_Redes!C:C)</f>
        <v>12000</v>
      </c>
      <c r="M19" s="45" t="n">
        <f aca="false">G19/F19</f>
        <v>0.0358812810365337</v>
      </c>
      <c r="N19" s="45" t="n">
        <f aca="false">VLOOKUP(D19,Tabla_Redes!$A$2:$D$5,4,0)</f>
        <v>0.055</v>
      </c>
      <c r="O19" s="43" t="str">
        <f aca="false">IF(G19&gt;=L19,"si","no")</f>
        <v>no</v>
      </c>
      <c r="P19" s="43" t="str">
        <f aca="false">_xlfn.IFS(M19&gt;=N19*1.2,"Alto",M19&gt;=N19*0.8,"Medio", TRUE(),"BAJO")</f>
        <v>BAJO</v>
      </c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36</v>
      </c>
      <c r="D20" s="6" t="s">
        <v>37</v>
      </c>
      <c r="E20" s="6" t="s">
        <v>32</v>
      </c>
      <c r="F20" s="8" t="n">
        <v>94126</v>
      </c>
      <c r="G20" s="8" t="n">
        <v>1997</v>
      </c>
      <c r="H20" s="8" t="n">
        <v>81</v>
      </c>
      <c r="I20" s="8" t="n">
        <v>118</v>
      </c>
      <c r="J20" s="9" t="n">
        <v>0</v>
      </c>
      <c r="K20" s="43" t="str">
        <f aca="false">VLOOKUP(D20,Tabla_Redes!$A$2:$D$5,2,0)</f>
        <v>Renata Cruz</v>
      </c>
      <c r="L20" s="44" t="n">
        <f aca="false">_xlfn.XLOOKUP(D20,Tabla_Redes!A:A,Tabla_Redes!C:C)</f>
        <v>4000</v>
      </c>
      <c r="M20" s="45" t="n">
        <f aca="false">G20/F20</f>
        <v>0.0212162420585173</v>
      </c>
      <c r="N20" s="45" t="n">
        <f aca="false">VLOOKUP(D20,Tabla_Redes!$A$2:$D$5,4,0)</f>
        <v>0.02</v>
      </c>
      <c r="O20" s="43" t="str">
        <f aca="false">IF(G20&gt;=L20,"si","no")</f>
        <v>no</v>
      </c>
      <c r="P20" s="43" t="str">
        <f aca="false">_xlfn.IFS(M20&gt;=N20*1.2,"Alto",M20&gt;=N20*0.8,"Medio", TRUE(),"BAJO")</f>
        <v>Medio</v>
      </c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38</v>
      </c>
      <c r="D21" s="6" t="s">
        <v>39</v>
      </c>
      <c r="E21" s="6" t="s">
        <v>42</v>
      </c>
      <c r="F21" s="8" t="n">
        <v>110600</v>
      </c>
      <c r="G21" s="8" t="n">
        <v>3838</v>
      </c>
      <c r="H21" s="8" t="n">
        <v>116</v>
      </c>
      <c r="I21" s="8" t="n">
        <v>173</v>
      </c>
      <c r="J21" s="9" t="n">
        <v>500</v>
      </c>
      <c r="K21" s="43" t="str">
        <f aca="false">VLOOKUP(D21,Tabla_Redes!$A$2:$D$5,2,0)</f>
        <v>Pablo Islas</v>
      </c>
      <c r="L21" s="44" t="n">
        <f aca="false">_xlfn.XLOOKUP(D21,Tabla_Redes!A:A,Tabla_Redes!C:C)</f>
        <v>3000</v>
      </c>
      <c r="M21" s="45" t="n">
        <f aca="false">G21/F21</f>
        <v>0.0347016274864376</v>
      </c>
      <c r="N21" s="45" t="n">
        <f aca="false">VLOOKUP(D21,Tabla_Redes!$A$2:$D$5,4,0)</f>
        <v>0.018</v>
      </c>
      <c r="O21" s="43" t="str">
        <f aca="false">IF(G21&gt;=L21,"si","no")</f>
        <v>si</v>
      </c>
      <c r="P21" s="43" t="str">
        <f aca="false">_xlfn.IFS(M21&gt;=N21*1.2,"Alto",M21&gt;=N21*0.8,"Medio", TRUE(),"BAJO")</f>
        <v>Alto</v>
      </c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30</v>
      </c>
      <c r="D22" s="6" t="s">
        <v>31</v>
      </c>
      <c r="E22" s="6" t="s">
        <v>40</v>
      </c>
      <c r="F22" s="8" t="n">
        <v>311925</v>
      </c>
      <c r="G22" s="8" t="n">
        <v>12132</v>
      </c>
      <c r="H22" s="8" t="n">
        <v>470</v>
      </c>
      <c r="I22" s="8" t="n">
        <v>868</v>
      </c>
      <c r="J22" s="9" t="n">
        <v>1500</v>
      </c>
      <c r="K22" s="43" t="str">
        <f aca="false">VLOOKUP(D22,Tabla_Redes!$A$2:$D$5,2,0)</f>
        <v>Sofía Nava</v>
      </c>
      <c r="L22" s="44" t="n">
        <f aca="false">_xlfn.XLOOKUP(D22,Tabla_Redes!A:A,Tabla_Redes!C:C)</f>
        <v>8000</v>
      </c>
      <c r="M22" s="45" t="n">
        <f aca="false">G22/F22</f>
        <v>0.0388939648954076</v>
      </c>
      <c r="N22" s="45" t="n">
        <f aca="false">VLOOKUP(D22,Tabla_Redes!$A$2:$D$5,4,0)</f>
        <v>0.035</v>
      </c>
      <c r="O22" s="43" t="str">
        <f aca="false">IF(G22&gt;=L22,"si","no")</f>
        <v>si</v>
      </c>
      <c r="P22" s="43" t="str">
        <f aca="false">_xlfn.IFS(M22&gt;=N22*1.2,"Alto",M22&gt;=N22*0.8,"Medio", TRUE(),"BAJO")</f>
        <v>Medio</v>
      </c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33</v>
      </c>
      <c r="D23" s="6" t="s">
        <v>34</v>
      </c>
      <c r="E23" s="6" t="s">
        <v>41</v>
      </c>
      <c r="F23" s="8" t="n">
        <v>254412</v>
      </c>
      <c r="G23" s="8" t="n">
        <v>20980</v>
      </c>
      <c r="H23" s="8" t="n">
        <v>1774</v>
      </c>
      <c r="I23" s="8" t="n">
        <v>1520</v>
      </c>
      <c r="J23" s="9" t="n">
        <v>3000</v>
      </c>
      <c r="K23" s="43" t="str">
        <f aca="false">VLOOKUP(D23,Tabla_Redes!$A$2:$D$5,2,0)</f>
        <v>Diego Marín</v>
      </c>
      <c r="L23" s="44" t="n">
        <f aca="false">_xlfn.XLOOKUP(D23,Tabla_Redes!A:A,Tabla_Redes!C:C)</f>
        <v>12000</v>
      </c>
      <c r="M23" s="45" t="n">
        <f aca="false">G23/F23</f>
        <v>0.0824646636164961</v>
      </c>
      <c r="N23" s="45" t="n">
        <f aca="false">VLOOKUP(D23,Tabla_Redes!$A$2:$D$5,4,0)</f>
        <v>0.055</v>
      </c>
      <c r="O23" s="43" t="str">
        <f aca="false">IF(G23&gt;=L23,"si","no")</f>
        <v>si</v>
      </c>
      <c r="P23" s="43" t="str">
        <f aca="false">_xlfn.IFS(M23&gt;=N23*1.2,"Alto",M23&gt;=N23*0.8,"Medio", TRUE(),"BAJO")</f>
        <v>Alto</v>
      </c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36</v>
      </c>
      <c r="D24" s="6" t="s">
        <v>37</v>
      </c>
      <c r="E24" s="6" t="s">
        <v>44</v>
      </c>
      <c r="F24" s="8" t="n">
        <v>223703</v>
      </c>
      <c r="G24" s="8" t="n">
        <v>10049</v>
      </c>
      <c r="H24" s="8" t="n">
        <v>374</v>
      </c>
      <c r="I24" s="8" t="n">
        <v>583</v>
      </c>
      <c r="J24" s="9" t="n">
        <v>0</v>
      </c>
      <c r="K24" s="43" t="str">
        <f aca="false">VLOOKUP(D24,Tabla_Redes!$A$2:$D$5,2,0)</f>
        <v>Renata Cruz</v>
      </c>
      <c r="L24" s="44" t="n">
        <f aca="false">_xlfn.XLOOKUP(D24,Tabla_Redes!A:A,Tabla_Redes!C:C)</f>
        <v>4000</v>
      </c>
      <c r="M24" s="45" t="n">
        <f aca="false">G24/F24</f>
        <v>0.0449211677983755</v>
      </c>
      <c r="N24" s="45" t="n">
        <f aca="false">VLOOKUP(D24,Tabla_Redes!$A$2:$D$5,4,0)</f>
        <v>0.02</v>
      </c>
      <c r="O24" s="43" t="str">
        <f aca="false">IF(G24&gt;=L24,"si","no")</f>
        <v>si</v>
      </c>
      <c r="P24" s="43" t="str">
        <f aca="false">_xlfn.IFS(M24&gt;=N24*1.2,"Alto",M24&gt;=N24*0.8,"Medio", TRUE(),"BAJO")</f>
        <v>Alto</v>
      </c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38</v>
      </c>
      <c r="D25" s="6" t="s">
        <v>39</v>
      </c>
      <c r="E25" s="6" t="s">
        <v>32</v>
      </c>
      <c r="F25" s="8" t="n">
        <v>50309</v>
      </c>
      <c r="G25" s="8" t="n">
        <v>4469</v>
      </c>
      <c r="H25" s="8" t="n">
        <v>271</v>
      </c>
      <c r="I25" s="8" t="n">
        <v>118</v>
      </c>
      <c r="J25" s="9" t="n">
        <v>1500</v>
      </c>
      <c r="K25" s="43" t="str">
        <f aca="false">VLOOKUP(D25,Tabla_Redes!$A$2:$D$5,2,0)</f>
        <v>Pablo Islas</v>
      </c>
      <c r="L25" s="44" t="n">
        <f aca="false">_xlfn.XLOOKUP(D25,Tabla_Redes!A:A,Tabla_Redes!C:C)</f>
        <v>3000</v>
      </c>
      <c r="M25" s="45" t="n">
        <f aca="false">G25/F25</f>
        <v>0.0888310242700113</v>
      </c>
      <c r="N25" s="45" t="n">
        <f aca="false">VLOOKUP(D25,Tabla_Redes!$A$2:$D$5,4,0)</f>
        <v>0.018</v>
      </c>
      <c r="O25" s="43" t="str">
        <f aca="false">IF(G25&gt;=L25,"si","no")</f>
        <v>si</v>
      </c>
      <c r="P25" s="43" t="str">
        <f aca="false">_xlfn.IFS(M25&gt;=N25*1.2,"Alto",M25&gt;=N25*0.8,"Medio", TRUE(),"BAJO")</f>
        <v>Alto</v>
      </c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30</v>
      </c>
      <c r="D26" s="6" t="s">
        <v>31</v>
      </c>
      <c r="E26" s="6" t="s">
        <v>43</v>
      </c>
      <c r="F26" s="8" t="n">
        <v>68676</v>
      </c>
      <c r="G26" s="8" t="n">
        <v>1031</v>
      </c>
      <c r="H26" s="8" t="n">
        <v>41</v>
      </c>
      <c r="I26" s="8" t="n">
        <v>26</v>
      </c>
      <c r="J26" s="9" t="n">
        <v>500</v>
      </c>
      <c r="K26" s="43" t="str">
        <f aca="false">VLOOKUP(D26,Tabla_Redes!$A$2:$D$5,2,0)</f>
        <v>Sofía Nava</v>
      </c>
      <c r="L26" s="44" t="n">
        <f aca="false">_xlfn.XLOOKUP(D26,Tabla_Redes!A:A,Tabla_Redes!C:C)</f>
        <v>8000</v>
      </c>
      <c r="M26" s="45" t="n">
        <f aca="false">G26/F26</f>
        <v>0.0150125225697478</v>
      </c>
      <c r="N26" s="45" t="n">
        <f aca="false">VLOOKUP(D26,Tabla_Redes!$A$2:$D$5,4,0)</f>
        <v>0.035</v>
      </c>
      <c r="O26" s="43" t="str">
        <f aca="false">IF(G26&gt;=L26,"si","no")</f>
        <v>no</v>
      </c>
      <c r="P26" s="43" t="str">
        <f aca="false">_xlfn.IFS(M26&gt;=N26*1.2,"Alto",M26&gt;=N26*0.8,"Medio", TRUE(),"BAJO")</f>
        <v>BAJO</v>
      </c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33</v>
      </c>
      <c r="D27" s="6" t="s">
        <v>34</v>
      </c>
      <c r="E27" s="6" t="s">
        <v>41</v>
      </c>
      <c r="F27" s="8" t="n">
        <v>51865</v>
      </c>
      <c r="G27" s="8" t="n">
        <v>4179</v>
      </c>
      <c r="H27" s="8" t="n">
        <v>305</v>
      </c>
      <c r="I27" s="8" t="n">
        <v>120</v>
      </c>
      <c r="J27" s="9" t="n">
        <v>500</v>
      </c>
      <c r="K27" s="43" t="str">
        <f aca="false">VLOOKUP(D27,Tabla_Redes!$A$2:$D$5,2,0)</f>
        <v>Diego Marín</v>
      </c>
      <c r="L27" s="44" t="n">
        <f aca="false">_xlfn.XLOOKUP(D27,Tabla_Redes!A:A,Tabla_Redes!C:C)</f>
        <v>12000</v>
      </c>
      <c r="M27" s="45" t="n">
        <f aca="false">G27/F27</f>
        <v>0.0805745685915357</v>
      </c>
      <c r="N27" s="45" t="n">
        <f aca="false">VLOOKUP(D27,Tabla_Redes!$A$2:$D$5,4,0)</f>
        <v>0.055</v>
      </c>
      <c r="O27" s="43" t="str">
        <f aca="false">IF(G27&gt;=L27,"si","no")</f>
        <v>no</v>
      </c>
      <c r="P27" s="43" t="str">
        <f aca="false">_xlfn.IFS(M27&gt;=N27*1.2,"Alto",M27&gt;=N27*0.8,"Medio", TRUE(),"BAJO")</f>
        <v>Alto</v>
      </c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36</v>
      </c>
      <c r="D28" s="6" t="s">
        <v>37</v>
      </c>
      <c r="E28" s="6" t="s">
        <v>44</v>
      </c>
      <c r="F28" s="8" t="n">
        <v>205926</v>
      </c>
      <c r="G28" s="8" t="n">
        <v>10411</v>
      </c>
      <c r="H28" s="8" t="n">
        <v>396</v>
      </c>
      <c r="I28" s="8" t="n">
        <v>513</v>
      </c>
      <c r="J28" s="9" t="n">
        <v>1000</v>
      </c>
      <c r="K28" s="43" t="str">
        <f aca="false">VLOOKUP(D28,Tabla_Redes!$A$2:$D$5,2,0)</f>
        <v>Renata Cruz</v>
      </c>
      <c r="L28" s="44" t="n">
        <f aca="false">_xlfn.XLOOKUP(D28,Tabla_Redes!A:A,Tabla_Redes!C:C)</f>
        <v>4000</v>
      </c>
      <c r="M28" s="45" t="n">
        <f aca="false">G28/F28</f>
        <v>0.0505569962025194</v>
      </c>
      <c r="N28" s="45" t="n">
        <f aca="false">VLOOKUP(D28,Tabla_Redes!$A$2:$D$5,4,0)</f>
        <v>0.02</v>
      </c>
      <c r="O28" s="43" t="str">
        <f aca="false">IF(G28&gt;=L28,"si","no")</f>
        <v>si</v>
      </c>
      <c r="P28" s="43" t="str">
        <f aca="false">_xlfn.IFS(M28&gt;=N28*1.2,"Alto",M28&gt;=N28*0.8,"Medio", TRUE(),"BAJO")</f>
        <v>Alto</v>
      </c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38</v>
      </c>
      <c r="D29" s="6" t="s">
        <v>39</v>
      </c>
      <c r="E29" s="6" t="s">
        <v>42</v>
      </c>
      <c r="F29" s="8" t="n">
        <v>268668</v>
      </c>
      <c r="G29" s="8" t="n">
        <v>10313</v>
      </c>
      <c r="H29" s="8" t="n">
        <v>413</v>
      </c>
      <c r="I29" s="8" t="n">
        <v>670</v>
      </c>
      <c r="J29" s="9" t="n">
        <v>2000</v>
      </c>
      <c r="K29" s="43" t="str">
        <f aca="false">VLOOKUP(D29,Tabla_Redes!$A$2:$D$5,2,0)</f>
        <v>Pablo Islas</v>
      </c>
      <c r="L29" s="44" t="n">
        <f aca="false">_xlfn.XLOOKUP(D29,Tabla_Redes!A:A,Tabla_Redes!C:C)</f>
        <v>3000</v>
      </c>
      <c r="M29" s="45" t="n">
        <f aca="false">G29/F29</f>
        <v>0.0383856655798234</v>
      </c>
      <c r="N29" s="45" t="n">
        <f aca="false">VLOOKUP(D29,Tabla_Redes!$A$2:$D$5,4,0)</f>
        <v>0.018</v>
      </c>
      <c r="O29" s="43" t="str">
        <f aca="false">IF(G29&gt;=L29,"si","no")</f>
        <v>si</v>
      </c>
      <c r="P29" s="43" t="str">
        <f aca="false">_xlfn.IFS(M29&gt;=N29*1.2,"Alto",M29&gt;=N29*0.8,"Medio", TRUE(),"BAJO")</f>
        <v>Alto</v>
      </c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30</v>
      </c>
      <c r="D30" s="6" t="s">
        <v>31</v>
      </c>
      <c r="E30" s="6" t="s">
        <v>32</v>
      </c>
      <c r="F30" s="8" t="n">
        <v>265935</v>
      </c>
      <c r="G30" s="8" t="n">
        <v>20520</v>
      </c>
      <c r="H30" s="8" t="n">
        <v>847</v>
      </c>
      <c r="I30" s="8" t="n">
        <v>438</v>
      </c>
      <c r="J30" s="9" t="n">
        <v>1500</v>
      </c>
      <c r="K30" s="43" t="str">
        <f aca="false">VLOOKUP(D30,Tabla_Redes!$A$2:$D$5,2,0)</f>
        <v>Sofía Nava</v>
      </c>
      <c r="L30" s="44" t="n">
        <f aca="false">_xlfn.XLOOKUP(D30,Tabla_Redes!A:A,Tabla_Redes!C:C)</f>
        <v>8000</v>
      </c>
      <c r="M30" s="45" t="n">
        <f aca="false">G30/F30</f>
        <v>0.0771617124485307</v>
      </c>
      <c r="N30" s="45" t="n">
        <f aca="false">VLOOKUP(D30,Tabla_Redes!$A$2:$D$5,4,0)</f>
        <v>0.035</v>
      </c>
      <c r="O30" s="43" t="str">
        <f aca="false">IF(G30&gt;=L30,"si","no")</f>
        <v>si</v>
      </c>
      <c r="P30" s="43" t="str">
        <f aca="false">_xlfn.IFS(M30&gt;=N30*1.2,"Alto",M30&gt;=N30*0.8,"Medio", TRUE(),"BAJO")</f>
        <v>Alto</v>
      </c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33</v>
      </c>
      <c r="D31" s="6" t="s">
        <v>34</v>
      </c>
      <c r="E31" s="6" t="s">
        <v>35</v>
      </c>
      <c r="F31" s="8" t="n">
        <v>91861</v>
      </c>
      <c r="G31" s="8" t="n">
        <v>6132</v>
      </c>
      <c r="H31" s="8" t="n">
        <v>576</v>
      </c>
      <c r="I31" s="8" t="n">
        <v>401</v>
      </c>
      <c r="J31" s="9" t="n">
        <v>500</v>
      </c>
      <c r="K31" s="43" t="str">
        <f aca="false">VLOOKUP(D31,Tabla_Redes!$A$2:$D$5,2,0)</f>
        <v>Diego Marín</v>
      </c>
      <c r="L31" s="44" t="n">
        <f aca="false">_xlfn.XLOOKUP(D31,Tabla_Redes!A:A,Tabla_Redes!C:C)</f>
        <v>12000</v>
      </c>
      <c r="M31" s="45" t="n">
        <f aca="false">G31/F31</f>
        <v>0.0667530290329955</v>
      </c>
      <c r="N31" s="45" t="n">
        <f aca="false">VLOOKUP(D31,Tabla_Redes!$A$2:$D$5,4,0)</f>
        <v>0.055</v>
      </c>
      <c r="O31" s="43" t="str">
        <f aca="false">IF(G31&gt;=L31,"si","no")</f>
        <v>no</v>
      </c>
      <c r="P31" s="43" t="str">
        <f aca="false">_xlfn.IFS(M31&gt;=N31*1.2,"Alto",M31&gt;=N31*0.8,"Medio", TRUE(),"BAJO")</f>
        <v>Alto</v>
      </c>
    </row>
    <row r="33" customFormat="false" ht="15" hidden="false" customHeight="false" outlineLevel="0" collapsed="false">
      <c r="A33" s="4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0" min="10" style="1" width="17"/>
    <col collapsed="false" customWidth="true" hidden="false" outlineLevel="0" max="11" min="11" style="1" width="16"/>
    <col collapsed="false" customWidth="true" hidden="false" outlineLevel="0" max="12" min="12" style="1" width="19"/>
    <col collapsed="false" customWidth="true" hidden="false" outlineLevel="0" max="13" min="13" style="1" width="15"/>
    <col collapsed="false" customWidth="true" hidden="false" outlineLevel="0" max="14" min="14" style="1" width="19"/>
    <col collapsed="false" customWidth="true" hidden="false" outlineLevel="0" max="15" min="15" style="1" width="15"/>
    <col collapsed="false" customWidth="true" hidden="false" outlineLevel="0" max="16" min="16" style="1" width="16"/>
  </cols>
  <sheetData>
    <row r="1" customFormat="false" ht="26.85" hidden="false" customHeight="false" outlineLevel="0" collapsed="false">
      <c r="A1" s="5" t="s">
        <v>54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47</v>
      </c>
      <c r="L1" s="5" t="s">
        <v>48</v>
      </c>
      <c r="M1" s="5" t="s">
        <v>55</v>
      </c>
      <c r="N1" s="5" t="s">
        <v>49</v>
      </c>
      <c r="O1" s="5" t="s">
        <v>56</v>
      </c>
      <c r="P1" s="5" t="s">
        <v>57</v>
      </c>
    </row>
    <row r="2" customFormat="false" ht="15" hidden="false" customHeight="false" outlineLevel="0" collapsed="false">
      <c r="A2" s="6" t="n">
        <v>1</v>
      </c>
      <c r="B2" s="7" t="n">
        <v>46025</v>
      </c>
      <c r="C2" s="6" t="s">
        <v>30</v>
      </c>
      <c r="D2" s="6" t="s">
        <v>31</v>
      </c>
      <c r="E2" s="6" t="s">
        <v>32</v>
      </c>
      <c r="F2" s="8" t="n">
        <v>94088</v>
      </c>
      <c r="G2" s="8" t="n">
        <v>4197</v>
      </c>
      <c r="H2" s="8" t="n">
        <v>140</v>
      </c>
      <c r="I2" s="8" t="n">
        <v>290</v>
      </c>
      <c r="J2" s="9" t="n">
        <v>0</v>
      </c>
      <c r="K2" s="6" t="str">
        <f aca="false">VLOOKUP(D2,Tabla_Redes!$A$2:$D$5,2,FALSE())</f>
        <v>Sofía Nava</v>
      </c>
      <c r="L2" s="8" t="n">
        <f aca="false">INDEX(Tabla_Redes!$C$2:$C$5,MATCH(D2,Tabla_Redes!$A$2:$A$5,0))</f>
        <v>8000</v>
      </c>
      <c r="M2" s="47" t="n">
        <f aca="false">G2/F2</f>
        <v>0.0446071762605221</v>
      </c>
      <c r="N2" s="48" t="n">
        <f aca="false">VLOOKUP(D2,Tabla_Redes!$A$2:$D$5,4,FALSE())</f>
        <v>0.035</v>
      </c>
      <c r="O2" s="6" t="str">
        <f aca="false">IF(G2&gt;=L2,"Sí","No")</f>
        <v>No</v>
      </c>
      <c r="P2" s="6" t="str">
        <f aca="false">_xlfn.IFS(M2&gt;=N2*1.2,"Alto",M2&gt;=N2*0.8,"Medio",TRUE(),"Bajo")</f>
        <v>Alto</v>
      </c>
    </row>
    <row r="3" customFormat="false" ht="15" hidden="false" customHeight="false" outlineLevel="0" collapsed="false">
      <c r="A3" s="6" t="n">
        <v>2</v>
      </c>
      <c r="B3" s="7" t="n">
        <v>46062</v>
      </c>
      <c r="C3" s="6" t="s">
        <v>33</v>
      </c>
      <c r="D3" s="6" t="s">
        <v>34</v>
      </c>
      <c r="E3" s="6" t="s">
        <v>35</v>
      </c>
      <c r="F3" s="8" t="n">
        <v>45408</v>
      </c>
      <c r="G3" s="8" t="n">
        <v>3779</v>
      </c>
      <c r="H3" s="8" t="n">
        <v>170</v>
      </c>
      <c r="I3" s="8" t="n">
        <v>95</v>
      </c>
      <c r="J3" s="9" t="n">
        <v>1000</v>
      </c>
      <c r="K3" s="6" t="str">
        <f aca="false">VLOOKUP(D3,Tabla_Redes!$A$2:$D$5,2,FALSE())</f>
        <v>Diego Marín</v>
      </c>
      <c r="L3" s="8" t="n">
        <f aca="false">INDEX(Tabla_Redes!$C$2:$C$5,MATCH(D3,Tabla_Redes!$A$2:$A$5,0))</f>
        <v>12000</v>
      </c>
      <c r="M3" s="47" t="n">
        <f aca="false">G3/F3</f>
        <v>0.0832232205778717</v>
      </c>
      <c r="N3" s="48" t="n">
        <f aca="false">VLOOKUP(D3,Tabla_Redes!$A$2:$D$5,4,FALSE())</f>
        <v>0.055</v>
      </c>
      <c r="O3" s="6" t="str">
        <f aca="false">IF(G3&gt;=L3,"Sí","No")</f>
        <v>No</v>
      </c>
      <c r="P3" s="6" t="str">
        <f aca="false">_xlfn.IFS(M3&gt;=N3*1.2,"Alto",M3&gt;=N3*0.8,"Medio",TRUE(),"Bajo")</f>
        <v>Alto</v>
      </c>
    </row>
    <row r="4" customFormat="false" ht="15" hidden="false" customHeight="false" outlineLevel="0" collapsed="false">
      <c r="A4" s="6" t="n">
        <v>3</v>
      </c>
      <c r="B4" s="7" t="n">
        <v>46096</v>
      </c>
      <c r="C4" s="6" t="s">
        <v>36</v>
      </c>
      <c r="D4" s="6" t="s">
        <v>37</v>
      </c>
      <c r="E4" s="6" t="s">
        <v>32</v>
      </c>
      <c r="F4" s="8" t="n">
        <v>141176</v>
      </c>
      <c r="G4" s="8" t="n">
        <v>3078</v>
      </c>
      <c r="H4" s="8" t="n">
        <v>183</v>
      </c>
      <c r="I4" s="8" t="n">
        <v>214</v>
      </c>
      <c r="J4" s="9" t="n">
        <v>0</v>
      </c>
      <c r="K4" s="6" t="str">
        <f aca="false">VLOOKUP(D4,Tabla_Redes!$A$2:$D$5,2,FALSE())</f>
        <v>Renata Cruz</v>
      </c>
      <c r="L4" s="8" t="n">
        <f aca="false">INDEX(Tabla_Redes!$C$2:$C$5,MATCH(D4,Tabla_Redes!$A$2:$A$5,0))</f>
        <v>4000</v>
      </c>
      <c r="M4" s="47" t="n">
        <f aca="false">G4/F4</f>
        <v>0.0218025726752423</v>
      </c>
      <c r="N4" s="48" t="n">
        <f aca="false">VLOOKUP(D4,Tabla_Redes!$A$2:$D$5,4,FALSE())</f>
        <v>0.02</v>
      </c>
      <c r="O4" s="6" t="str">
        <f aca="false">IF(G4&gt;=L4,"Sí","No")</f>
        <v>No</v>
      </c>
      <c r="P4" s="6" t="str">
        <f aca="false">_xlfn.IFS(M4&gt;=N4*1.2,"Alto",M4&gt;=N4*0.8,"Medio",TRUE(),"Bajo")</f>
        <v>Medio</v>
      </c>
    </row>
    <row r="5" customFormat="false" ht="15" hidden="false" customHeight="false" outlineLevel="0" collapsed="false">
      <c r="A5" s="6" t="n">
        <v>4</v>
      </c>
      <c r="B5" s="7" t="n">
        <v>46133</v>
      </c>
      <c r="C5" s="6" t="s">
        <v>38</v>
      </c>
      <c r="D5" s="6" t="s">
        <v>39</v>
      </c>
      <c r="E5" s="6" t="s">
        <v>32</v>
      </c>
      <c r="F5" s="8" t="n">
        <v>47433</v>
      </c>
      <c r="G5" s="8" t="n">
        <v>2764</v>
      </c>
      <c r="H5" s="8" t="n">
        <v>159</v>
      </c>
      <c r="I5" s="8" t="n">
        <v>217</v>
      </c>
      <c r="J5" s="9" t="n">
        <v>0</v>
      </c>
      <c r="K5" s="6" t="str">
        <f aca="false">VLOOKUP(D5,Tabla_Redes!$A$2:$D$5,2,FALSE())</f>
        <v>Pablo Islas</v>
      </c>
      <c r="L5" s="8" t="n">
        <f aca="false">INDEX(Tabla_Redes!$C$2:$C$5,MATCH(D5,Tabla_Redes!$A$2:$A$5,0))</f>
        <v>3000</v>
      </c>
      <c r="M5" s="47" t="n">
        <f aca="false">G5/F5</f>
        <v>0.0582716674045496</v>
      </c>
      <c r="N5" s="48" t="n">
        <f aca="false">VLOOKUP(D5,Tabla_Redes!$A$2:$D$5,4,FALSE())</f>
        <v>0.018</v>
      </c>
      <c r="O5" s="6" t="str">
        <f aca="false">IF(G5&gt;=L5,"Sí","No")</f>
        <v>No</v>
      </c>
      <c r="P5" s="6" t="str">
        <f aca="false">_xlfn.IFS(M5&gt;=N5*1.2,"Alto",M5&gt;=N5*0.8,"Medio",TRUE(),"Bajo")</f>
        <v>Alto</v>
      </c>
    </row>
    <row r="6" customFormat="false" ht="15" hidden="false" customHeight="false" outlineLevel="0" collapsed="false">
      <c r="A6" s="6" t="n">
        <v>5</v>
      </c>
      <c r="B6" s="7" t="n">
        <v>46145</v>
      </c>
      <c r="C6" s="6" t="s">
        <v>30</v>
      </c>
      <c r="D6" s="6" t="s">
        <v>31</v>
      </c>
      <c r="E6" s="6" t="s">
        <v>40</v>
      </c>
      <c r="F6" s="8" t="n">
        <v>84821</v>
      </c>
      <c r="G6" s="8" t="n">
        <v>3114</v>
      </c>
      <c r="H6" s="8" t="n">
        <v>124</v>
      </c>
      <c r="I6" s="8" t="n">
        <v>84</v>
      </c>
      <c r="J6" s="9" t="n">
        <v>500</v>
      </c>
      <c r="K6" s="6" t="str">
        <f aca="false">VLOOKUP(D6,Tabla_Redes!$A$2:$D$5,2,FALSE())</f>
        <v>Sofía Nava</v>
      </c>
      <c r="L6" s="8" t="n">
        <f aca="false">INDEX(Tabla_Redes!$C$2:$C$5,MATCH(D6,Tabla_Redes!$A$2:$A$5,0))</f>
        <v>8000</v>
      </c>
      <c r="M6" s="47" t="n">
        <f aca="false">G6/F6</f>
        <v>0.0367126065479068</v>
      </c>
      <c r="N6" s="48" t="n">
        <f aca="false">VLOOKUP(D6,Tabla_Redes!$A$2:$D$5,4,FALSE())</f>
        <v>0.035</v>
      </c>
      <c r="O6" s="6" t="str">
        <f aca="false">IF(G6&gt;=L6,"Sí","No")</f>
        <v>No</v>
      </c>
      <c r="P6" s="6" t="str">
        <f aca="false">_xlfn.IFS(M6&gt;=N6*1.2,"Alto",M6&gt;=N6*0.8,"Medio",TRUE(),"Bajo")</f>
        <v>Medio</v>
      </c>
    </row>
    <row r="7" customFormat="false" ht="15" hidden="false" customHeight="false" outlineLevel="0" collapsed="false">
      <c r="A7" s="6" t="n">
        <v>6</v>
      </c>
      <c r="B7" s="7" t="n">
        <v>46182</v>
      </c>
      <c r="C7" s="6" t="s">
        <v>33</v>
      </c>
      <c r="D7" s="6" t="s">
        <v>34</v>
      </c>
      <c r="E7" s="6" t="s">
        <v>41</v>
      </c>
      <c r="F7" s="8" t="n">
        <v>69030</v>
      </c>
      <c r="G7" s="8" t="n">
        <v>4046</v>
      </c>
      <c r="H7" s="8" t="n">
        <v>302</v>
      </c>
      <c r="I7" s="8" t="n">
        <v>171</v>
      </c>
      <c r="J7" s="9" t="n">
        <v>1500</v>
      </c>
      <c r="K7" s="6" t="str">
        <f aca="false">VLOOKUP(D7,Tabla_Redes!$A$2:$D$5,2,FALSE())</f>
        <v>Diego Marín</v>
      </c>
      <c r="L7" s="8" t="n">
        <f aca="false">INDEX(Tabla_Redes!$C$2:$C$5,MATCH(D7,Tabla_Redes!$A$2:$A$5,0))</f>
        <v>12000</v>
      </c>
      <c r="M7" s="47" t="n">
        <f aca="false">G7/F7</f>
        <v>0.0586121975952484</v>
      </c>
      <c r="N7" s="48" t="n">
        <f aca="false">VLOOKUP(D7,Tabla_Redes!$A$2:$D$5,4,FALSE())</f>
        <v>0.055</v>
      </c>
      <c r="O7" s="6" t="str">
        <f aca="false">IF(G7&gt;=L7,"Sí","No")</f>
        <v>No</v>
      </c>
      <c r="P7" s="6" t="str">
        <f aca="false">_xlfn.IFS(M7&gt;=N7*1.2,"Alto",M7&gt;=N7*0.8,"Medio",TRUE(),"Bajo")</f>
        <v>Medio</v>
      </c>
    </row>
    <row r="8" customFormat="false" ht="15" hidden="false" customHeight="false" outlineLevel="0" collapsed="false">
      <c r="A8" s="6" t="n">
        <v>7</v>
      </c>
      <c r="B8" s="7" t="n">
        <v>46037</v>
      </c>
      <c r="C8" s="6" t="s">
        <v>36</v>
      </c>
      <c r="D8" s="6" t="s">
        <v>37</v>
      </c>
      <c r="E8" s="6" t="s">
        <v>32</v>
      </c>
      <c r="F8" s="8" t="n">
        <v>310891</v>
      </c>
      <c r="G8" s="8" t="n">
        <v>6053</v>
      </c>
      <c r="H8" s="8" t="n">
        <v>268</v>
      </c>
      <c r="I8" s="8" t="n">
        <v>368</v>
      </c>
      <c r="J8" s="9" t="n">
        <v>1000</v>
      </c>
      <c r="K8" s="6" t="str">
        <f aca="false">VLOOKUP(D8,Tabla_Redes!$A$2:$D$5,2,FALSE())</f>
        <v>Renata Cruz</v>
      </c>
      <c r="L8" s="8" t="n">
        <f aca="false">INDEX(Tabla_Redes!$C$2:$C$5,MATCH(D8,Tabla_Redes!$A$2:$A$5,0))</f>
        <v>4000</v>
      </c>
      <c r="M8" s="47" t="n">
        <f aca="false">G8/F8</f>
        <v>0.0194698463448604</v>
      </c>
      <c r="N8" s="48" t="n">
        <f aca="false">VLOOKUP(D8,Tabla_Redes!$A$2:$D$5,4,FALSE())</f>
        <v>0.02</v>
      </c>
      <c r="O8" s="6" t="str">
        <f aca="false">IF(G8&gt;=L8,"Sí","No")</f>
        <v>Sí</v>
      </c>
      <c r="P8" s="6" t="str">
        <f aca="false">_xlfn.IFS(M8&gt;=N8*1.2,"Alto",M8&gt;=N8*0.8,"Medio",TRUE(),"Bajo")</f>
        <v>Medio</v>
      </c>
    </row>
    <row r="9" customFormat="false" ht="15" hidden="false" customHeight="false" outlineLevel="0" collapsed="false">
      <c r="A9" s="6" t="n">
        <v>8</v>
      </c>
      <c r="B9" s="7" t="n">
        <v>46074</v>
      </c>
      <c r="C9" s="6" t="s">
        <v>38</v>
      </c>
      <c r="D9" s="6" t="s">
        <v>39</v>
      </c>
      <c r="E9" s="6" t="s">
        <v>42</v>
      </c>
      <c r="F9" s="8" t="n">
        <v>259109</v>
      </c>
      <c r="G9" s="8" t="n">
        <v>15265</v>
      </c>
      <c r="H9" s="8" t="n">
        <v>942</v>
      </c>
      <c r="I9" s="8" t="n">
        <v>579</v>
      </c>
      <c r="J9" s="9" t="n">
        <v>3000</v>
      </c>
      <c r="K9" s="6" t="str">
        <f aca="false">VLOOKUP(D9,Tabla_Redes!$A$2:$D$5,2,FALSE())</f>
        <v>Pablo Islas</v>
      </c>
      <c r="L9" s="8" t="n">
        <f aca="false">INDEX(Tabla_Redes!$C$2:$C$5,MATCH(D9,Tabla_Redes!$A$2:$A$5,0))</f>
        <v>3000</v>
      </c>
      <c r="M9" s="47" t="n">
        <f aca="false">G9/F9</f>
        <v>0.0589134302552208</v>
      </c>
      <c r="N9" s="48" t="n">
        <f aca="false">VLOOKUP(D9,Tabla_Redes!$A$2:$D$5,4,FALSE())</f>
        <v>0.018</v>
      </c>
      <c r="O9" s="6" t="str">
        <f aca="false">IF(G9&gt;=L9,"Sí","No")</f>
        <v>Sí</v>
      </c>
      <c r="P9" s="6" t="str">
        <f aca="false">_xlfn.IFS(M9&gt;=N9*1.2,"Alto",M9&gt;=N9*0.8,"Medio",TRUE(),"Bajo")</f>
        <v>Alto</v>
      </c>
    </row>
    <row r="10" customFormat="false" ht="15" hidden="false" customHeight="false" outlineLevel="0" collapsed="false">
      <c r="A10" s="6" t="n">
        <v>9</v>
      </c>
      <c r="B10" s="7" t="n">
        <v>46084</v>
      </c>
      <c r="C10" s="6" t="s">
        <v>30</v>
      </c>
      <c r="D10" s="6" t="s">
        <v>31</v>
      </c>
      <c r="E10" s="6" t="s">
        <v>43</v>
      </c>
      <c r="F10" s="8" t="n">
        <v>142976</v>
      </c>
      <c r="G10" s="8" t="n">
        <v>3022</v>
      </c>
      <c r="H10" s="8" t="n">
        <v>154</v>
      </c>
      <c r="I10" s="8" t="n">
        <v>150</v>
      </c>
      <c r="J10" s="9" t="n">
        <v>500</v>
      </c>
      <c r="K10" s="6" t="str">
        <f aca="false">VLOOKUP(D10,Tabla_Redes!$A$2:$D$5,2,FALSE())</f>
        <v>Sofía Nava</v>
      </c>
      <c r="L10" s="8" t="n">
        <f aca="false">INDEX(Tabla_Redes!$C$2:$C$5,MATCH(D10,Tabla_Redes!$A$2:$A$5,0))</f>
        <v>8000</v>
      </c>
      <c r="M10" s="47" t="n">
        <f aca="false">G10/F10</f>
        <v>0.0211364145031334</v>
      </c>
      <c r="N10" s="48" t="n">
        <f aca="false">VLOOKUP(D10,Tabla_Redes!$A$2:$D$5,4,FALSE())</f>
        <v>0.035</v>
      </c>
      <c r="O10" s="6" t="str">
        <f aca="false">IF(G10&gt;=L10,"Sí","No")</f>
        <v>No</v>
      </c>
      <c r="P10" s="6" t="str">
        <f aca="false">_xlfn.IFS(M10&gt;=N10*1.2,"Alto",M10&gt;=N10*0.8,"Medio",TRUE(),"Bajo")</f>
        <v>Bajo</v>
      </c>
    </row>
    <row r="11" customFormat="false" ht="15" hidden="false" customHeight="false" outlineLevel="0" collapsed="false">
      <c r="A11" s="6" t="n">
        <v>10</v>
      </c>
      <c r="B11" s="7" t="n">
        <v>46121</v>
      </c>
      <c r="C11" s="6" t="s">
        <v>33</v>
      </c>
      <c r="D11" s="6" t="s">
        <v>34</v>
      </c>
      <c r="E11" s="6" t="s">
        <v>35</v>
      </c>
      <c r="F11" s="8" t="n">
        <v>165962</v>
      </c>
      <c r="G11" s="8" t="n">
        <v>10069</v>
      </c>
      <c r="H11" s="8" t="n">
        <v>353</v>
      </c>
      <c r="I11" s="8" t="n">
        <v>510</v>
      </c>
      <c r="J11" s="9" t="n">
        <v>0</v>
      </c>
      <c r="K11" s="6" t="str">
        <f aca="false">VLOOKUP(D11,Tabla_Redes!$A$2:$D$5,2,FALSE())</f>
        <v>Diego Marín</v>
      </c>
      <c r="L11" s="8" t="n">
        <f aca="false">INDEX(Tabla_Redes!$C$2:$C$5,MATCH(D11,Tabla_Redes!$A$2:$A$5,0))</f>
        <v>12000</v>
      </c>
      <c r="M11" s="47" t="n">
        <f aca="false">G11/F11</f>
        <v>0.0606705149371543</v>
      </c>
      <c r="N11" s="48" t="n">
        <f aca="false">VLOOKUP(D11,Tabla_Redes!$A$2:$D$5,4,FALSE())</f>
        <v>0.055</v>
      </c>
      <c r="O11" s="6" t="str">
        <f aca="false">IF(G11&gt;=L11,"Sí","No")</f>
        <v>No</v>
      </c>
      <c r="P11" s="6" t="str">
        <f aca="false">_xlfn.IFS(M11&gt;=N11*1.2,"Alto",M11&gt;=N11*0.8,"Medio",TRUE(),"Bajo")</f>
        <v>Medio</v>
      </c>
    </row>
    <row r="12" customFormat="false" ht="15" hidden="false" customHeight="false" outlineLevel="0" collapsed="false">
      <c r="A12" s="6" t="n">
        <v>11</v>
      </c>
      <c r="B12" s="7" t="n">
        <v>46157</v>
      </c>
      <c r="C12" s="6" t="s">
        <v>36</v>
      </c>
      <c r="D12" s="6" t="s">
        <v>37</v>
      </c>
      <c r="E12" s="6" t="s">
        <v>44</v>
      </c>
      <c r="F12" s="8" t="n">
        <v>94683</v>
      </c>
      <c r="G12" s="8" t="n">
        <v>8047</v>
      </c>
      <c r="H12" s="8" t="n">
        <v>478</v>
      </c>
      <c r="I12" s="8" t="n">
        <v>625</v>
      </c>
      <c r="J12" s="9" t="n">
        <v>0</v>
      </c>
      <c r="K12" s="6" t="str">
        <f aca="false">VLOOKUP(D12,Tabla_Redes!$A$2:$D$5,2,FALSE())</f>
        <v>Renata Cruz</v>
      </c>
      <c r="L12" s="8" t="n">
        <f aca="false">INDEX(Tabla_Redes!$C$2:$C$5,MATCH(D12,Tabla_Redes!$A$2:$A$5,0))</f>
        <v>4000</v>
      </c>
      <c r="M12" s="47" t="n">
        <f aca="false">G12/F12</f>
        <v>0.0849888575562667</v>
      </c>
      <c r="N12" s="48" t="n">
        <f aca="false">VLOOKUP(D12,Tabla_Redes!$A$2:$D$5,4,FALSE())</f>
        <v>0.02</v>
      </c>
      <c r="O12" s="6" t="str">
        <f aca="false">IF(G12&gt;=L12,"Sí","No")</f>
        <v>Sí</v>
      </c>
      <c r="P12" s="6" t="str">
        <f aca="false">_xlfn.IFS(M12&gt;=N12*1.2,"Alto",M12&gt;=N12*0.8,"Medio",TRUE(),"Bajo")</f>
        <v>Alto</v>
      </c>
    </row>
    <row r="13" customFormat="false" ht="15" hidden="false" customHeight="false" outlineLevel="0" collapsed="false">
      <c r="A13" s="6" t="n">
        <v>12</v>
      </c>
      <c r="B13" s="7" t="n">
        <v>46194</v>
      </c>
      <c r="C13" s="6" t="s">
        <v>38</v>
      </c>
      <c r="D13" s="6" t="s">
        <v>39</v>
      </c>
      <c r="E13" s="6" t="s">
        <v>42</v>
      </c>
      <c r="F13" s="8" t="n">
        <v>193322</v>
      </c>
      <c r="G13" s="8" t="n">
        <v>12981</v>
      </c>
      <c r="H13" s="8" t="n">
        <v>929</v>
      </c>
      <c r="I13" s="8" t="n">
        <v>711</v>
      </c>
      <c r="J13" s="9" t="n">
        <v>1000</v>
      </c>
      <c r="K13" s="6" t="str">
        <f aca="false">VLOOKUP(D13,Tabla_Redes!$A$2:$D$5,2,FALSE())</f>
        <v>Pablo Islas</v>
      </c>
      <c r="L13" s="8" t="n">
        <f aca="false">INDEX(Tabla_Redes!$C$2:$C$5,MATCH(D13,Tabla_Redes!$A$2:$A$5,0))</f>
        <v>3000</v>
      </c>
      <c r="M13" s="47" t="n">
        <f aca="false">G13/F13</f>
        <v>0.0671470396540487</v>
      </c>
      <c r="N13" s="48" t="n">
        <f aca="false">VLOOKUP(D13,Tabla_Redes!$A$2:$D$5,4,FALSE())</f>
        <v>0.018</v>
      </c>
      <c r="O13" s="6" t="str">
        <f aca="false">IF(G13&gt;=L13,"Sí","No")</f>
        <v>Sí</v>
      </c>
      <c r="P13" s="6" t="str">
        <f aca="false">_xlfn.IFS(M13&gt;=N13*1.2,"Alto",M13&gt;=N13*0.8,"Medio",TRUE(),"Bajo")</f>
        <v>Alto</v>
      </c>
    </row>
    <row r="14" customFormat="false" ht="15" hidden="false" customHeight="false" outlineLevel="0" collapsed="false">
      <c r="A14" s="6" t="n">
        <v>13</v>
      </c>
      <c r="B14" s="7" t="n">
        <v>46025</v>
      </c>
      <c r="C14" s="6" t="s">
        <v>30</v>
      </c>
      <c r="D14" s="6" t="s">
        <v>31</v>
      </c>
      <c r="E14" s="6" t="s">
        <v>43</v>
      </c>
      <c r="F14" s="8" t="n">
        <v>64071</v>
      </c>
      <c r="G14" s="8" t="n">
        <v>5500</v>
      </c>
      <c r="H14" s="8" t="n">
        <v>347</v>
      </c>
      <c r="I14" s="8" t="n">
        <v>329</v>
      </c>
      <c r="J14" s="9" t="n">
        <v>0</v>
      </c>
      <c r="K14" s="6" t="str">
        <f aca="false">VLOOKUP(D14,Tabla_Redes!$A$2:$D$5,2,FALSE())</f>
        <v>Sofía Nava</v>
      </c>
      <c r="L14" s="8" t="n">
        <f aca="false">INDEX(Tabla_Redes!$C$2:$C$5,MATCH(D14,Tabla_Redes!$A$2:$A$5,0))</f>
        <v>8000</v>
      </c>
      <c r="M14" s="47" t="n">
        <f aca="false">G14/F14</f>
        <v>0.0858422687331242</v>
      </c>
      <c r="N14" s="48" t="n">
        <f aca="false">VLOOKUP(D14,Tabla_Redes!$A$2:$D$5,4,FALSE())</f>
        <v>0.035</v>
      </c>
      <c r="O14" s="6" t="str">
        <f aca="false">IF(G14&gt;=L14,"Sí","No")</f>
        <v>No</v>
      </c>
      <c r="P14" s="6" t="str">
        <f aca="false">_xlfn.IFS(M14&gt;=N14*1.2,"Alto",M14&gt;=N14*0.8,"Medio",TRUE(),"Bajo")</f>
        <v>Alto</v>
      </c>
    </row>
    <row r="15" customFormat="false" ht="15" hidden="false" customHeight="false" outlineLevel="0" collapsed="false">
      <c r="A15" s="6" t="n">
        <v>14</v>
      </c>
      <c r="B15" s="7" t="n">
        <v>46062</v>
      </c>
      <c r="C15" s="6" t="s">
        <v>33</v>
      </c>
      <c r="D15" s="6" t="s">
        <v>34</v>
      </c>
      <c r="E15" s="6" t="s">
        <v>35</v>
      </c>
      <c r="F15" s="8" t="n">
        <v>318010</v>
      </c>
      <c r="G15" s="8" t="n">
        <v>28456</v>
      </c>
      <c r="H15" s="8" t="n">
        <v>2490</v>
      </c>
      <c r="I15" s="8" t="n">
        <v>1055</v>
      </c>
      <c r="J15" s="9" t="n">
        <v>1000</v>
      </c>
      <c r="K15" s="6" t="str">
        <f aca="false">VLOOKUP(D15,Tabla_Redes!$A$2:$D$5,2,FALSE())</f>
        <v>Diego Marín</v>
      </c>
      <c r="L15" s="8" t="n">
        <f aca="false">INDEX(Tabla_Redes!$C$2:$C$5,MATCH(D15,Tabla_Redes!$A$2:$A$5,0))</f>
        <v>12000</v>
      </c>
      <c r="M15" s="47" t="n">
        <f aca="false">G15/F15</f>
        <v>0.0894814628470803</v>
      </c>
      <c r="N15" s="48" t="n">
        <f aca="false">VLOOKUP(D15,Tabla_Redes!$A$2:$D$5,4,FALSE())</f>
        <v>0.055</v>
      </c>
      <c r="O15" s="6" t="str">
        <f aca="false">IF(G15&gt;=L15,"Sí","No")</f>
        <v>Sí</v>
      </c>
      <c r="P15" s="6" t="str">
        <f aca="false">_xlfn.IFS(M15&gt;=N15*1.2,"Alto",M15&gt;=N15*0.8,"Medio",TRUE(),"Bajo")</f>
        <v>Alto</v>
      </c>
    </row>
    <row r="16" customFormat="false" ht="15" hidden="false" customHeight="false" outlineLevel="0" collapsed="false">
      <c r="A16" s="6" t="n">
        <v>15</v>
      </c>
      <c r="B16" s="7" t="n">
        <v>46096</v>
      </c>
      <c r="C16" s="6" t="s">
        <v>36</v>
      </c>
      <c r="D16" s="6" t="s">
        <v>37</v>
      </c>
      <c r="E16" s="6" t="s">
        <v>44</v>
      </c>
      <c r="F16" s="8" t="n">
        <v>26829</v>
      </c>
      <c r="G16" s="8" t="n">
        <v>2295</v>
      </c>
      <c r="H16" s="8" t="n">
        <v>125</v>
      </c>
      <c r="I16" s="8" t="n">
        <v>130</v>
      </c>
      <c r="J16" s="9" t="n">
        <v>1000</v>
      </c>
      <c r="K16" s="6" t="str">
        <f aca="false">VLOOKUP(D16,Tabla_Redes!$A$2:$D$5,2,FALSE())</f>
        <v>Renata Cruz</v>
      </c>
      <c r="L16" s="8" t="n">
        <f aca="false">INDEX(Tabla_Redes!$C$2:$C$5,MATCH(D16,Tabla_Redes!$A$2:$A$5,0))</f>
        <v>4000</v>
      </c>
      <c r="M16" s="47" t="n">
        <f aca="false">G16/F16</f>
        <v>0.0855417645085542</v>
      </c>
      <c r="N16" s="48" t="n">
        <f aca="false">VLOOKUP(D16,Tabla_Redes!$A$2:$D$5,4,FALSE())</f>
        <v>0.02</v>
      </c>
      <c r="O16" s="6" t="str">
        <f aca="false">IF(G16&gt;=L16,"Sí","No")</f>
        <v>No</v>
      </c>
      <c r="P16" s="6" t="str">
        <f aca="false">_xlfn.IFS(M16&gt;=N16*1.2,"Alto",M16&gt;=N16*0.8,"Medio",TRUE(),"Bajo")</f>
        <v>Alto</v>
      </c>
    </row>
    <row r="17" customFormat="false" ht="15" hidden="false" customHeight="false" outlineLevel="0" collapsed="false">
      <c r="A17" s="6" t="n">
        <v>16</v>
      </c>
      <c r="B17" s="7" t="n">
        <v>46133</v>
      </c>
      <c r="C17" s="6" t="s">
        <v>38</v>
      </c>
      <c r="D17" s="6" t="s">
        <v>39</v>
      </c>
      <c r="E17" s="6" t="s">
        <v>32</v>
      </c>
      <c r="F17" s="8" t="n">
        <v>129403</v>
      </c>
      <c r="G17" s="8" t="n">
        <v>9396</v>
      </c>
      <c r="H17" s="8" t="n">
        <v>366</v>
      </c>
      <c r="I17" s="8" t="n">
        <v>327</v>
      </c>
      <c r="J17" s="9" t="n">
        <v>1000</v>
      </c>
      <c r="K17" s="6" t="str">
        <f aca="false">VLOOKUP(D17,Tabla_Redes!$A$2:$D$5,2,FALSE())</f>
        <v>Pablo Islas</v>
      </c>
      <c r="L17" s="8" t="n">
        <f aca="false">INDEX(Tabla_Redes!$C$2:$C$5,MATCH(D17,Tabla_Redes!$A$2:$A$5,0))</f>
        <v>3000</v>
      </c>
      <c r="M17" s="47" t="n">
        <f aca="false">G17/F17</f>
        <v>0.0726103722479386</v>
      </c>
      <c r="N17" s="48" t="n">
        <f aca="false">VLOOKUP(D17,Tabla_Redes!$A$2:$D$5,4,FALSE())</f>
        <v>0.018</v>
      </c>
      <c r="O17" s="6" t="str">
        <f aca="false">IF(G17&gt;=L17,"Sí","No")</f>
        <v>Sí</v>
      </c>
      <c r="P17" s="6" t="str">
        <f aca="false">_xlfn.IFS(M17&gt;=N17*1.2,"Alto",M17&gt;=N17*0.8,"Medio",TRUE(),"Bajo")</f>
        <v>Alto</v>
      </c>
    </row>
    <row r="18" customFormat="false" ht="15" hidden="false" customHeight="false" outlineLevel="0" collapsed="false">
      <c r="A18" s="6" t="n">
        <v>17</v>
      </c>
      <c r="B18" s="7" t="n">
        <v>46145</v>
      </c>
      <c r="C18" s="6" t="s">
        <v>30</v>
      </c>
      <c r="D18" s="6" t="s">
        <v>31</v>
      </c>
      <c r="E18" s="6" t="s">
        <v>32</v>
      </c>
      <c r="F18" s="8" t="n">
        <v>57247</v>
      </c>
      <c r="G18" s="8" t="n">
        <v>1573</v>
      </c>
      <c r="H18" s="8" t="n">
        <v>91</v>
      </c>
      <c r="I18" s="8" t="n">
        <v>57</v>
      </c>
      <c r="J18" s="9" t="n">
        <v>0</v>
      </c>
      <c r="K18" s="6" t="str">
        <f aca="false">VLOOKUP(D18,Tabla_Redes!$A$2:$D$5,2,FALSE())</f>
        <v>Sofía Nava</v>
      </c>
      <c r="L18" s="8" t="n">
        <f aca="false">INDEX(Tabla_Redes!$C$2:$C$5,MATCH(D18,Tabla_Redes!$A$2:$A$5,0))</f>
        <v>8000</v>
      </c>
      <c r="M18" s="47" t="n">
        <f aca="false">G18/F18</f>
        <v>0.0274774223976802</v>
      </c>
      <c r="N18" s="48" t="n">
        <f aca="false">VLOOKUP(D18,Tabla_Redes!$A$2:$D$5,4,FALSE())</f>
        <v>0.035</v>
      </c>
      <c r="O18" s="6" t="str">
        <f aca="false">IF(G18&gt;=L18,"Sí","No")</f>
        <v>No</v>
      </c>
      <c r="P18" s="6" t="str">
        <f aca="false">_xlfn.IFS(M18&gt;=N18*1.2,"Alto",M18&gt;=N18*0.8,"Medio",TRUE(),"Bajo")</f>
        <v>Bajo</v>
      </c>
    </row>
    <row r="19" customFormat="false" ht="15" hidden="false" customHeight="false" outlineLevel="0" collapsed="false">
      <c r="A19" s="6" t="n">
        <v>18</v>
      </c>
      <c r="B19" s="7" t="n">
        <v>46182</v>
      </c>
      <c r="C19" s="6" t="s">
        <v>33</v>
      </c>
      <c r="D19" s="6" t="s">
        <v>34</v>
      </c>
      <c r="E19" s="6" t="s">
        <v>35</v>
      </c>
      <c r="F19" s="8" t="n">
        <v>303473</v>
      </c>
      <c r="G19" s="8" t="n">
        <v>10889</v>
      </c>
      <c r="H19" s="8" t="n">
        <v>643</v>
      </c>
      <c r="I19" s="8" t="n">
        <v>452</v>
      </c>
      <c r="J19" s="9" t="n">
        <v>1000</v>
      </c>
      <c r="K19" s="6" t="str">
        <f aca="false">VLOOKUP(D19,Tabla_Redes!$A$2:$D$5,2,FALSE())</f>
        <v>Diego Marín</v>
      </c>
      <c r="L19" s="8" t="n">
        <f aca="false">INDEX(Tabla_Redes!$C$2:$C$5,MATCH(D19,Tabla_Redes!$A$2:$A$5,0))</f>
        <v>12000</v>
      </c>
      <c r="M19" s="47" t="n">
        <f aca="false">G19/F19</f>
        <v>0.0358812810365337</v>
      </c>
      <c r="N19" s="48" t="n">
        <f aca="false">VLOOKUP(D19,Tabla_Redes!$A$2:$D$5,4,FALSE())</f>
        <v>0.055</v>
      </c>
      <c r="O19" s="6" t="str">
        <f aca="false">IF(G19&gt;=L19,"Sí","No")</f>
        <v>No</v>
      </c>
      <c r="P19" s="6" t="str">
        <f aca="false">_xlfn.IFS(M19&gt;=N19*1.2,"Alto",M19&gt;=N19*0.8,"Medio",TRUE(),"Bajo")</f>
        <v>Bajo</v>
      </c>
    </row>
    <row r="20" customFormat="false" ht="15" hidden="false" customHeight="false" outlineLevel="0" collapsed="false">
      <c r="A20" s="6" t="n">
        <v>19</v>
      </c>
      <c r="B20" s="7" t="n">
        <v>46037</v>
      </c>
      <c r="C20" s="6" t="s">
        <v>36</v>
      </c>
      <c r="D20" s="6" t="s">
        <v>37</v>
      </c>
      <c r="E20" s="6" t="s">
        <v>32</v>
      </c>
      <c r="F20" s="8" t="n">
        <v>94126</v>
      </c>
      <c r="G20" s="8" t="n">
        <v>1997</v>
      </c>
      <c r="H20" s="8" t="n">
        <v>81</v>
      </c>
      <c r="I20" s="8" t="n">
        <v>118</v>
      </c>
      <c r="J20" s="9" t="n">
        <v>0</v>
      </c>
      <c r="K20" s="6" t="str">
        <f aca="false">VLOOKUP(D20,Tabla_Redes!$A$2:$D$5,2,FALSE())</f>
        <v>Renata Cruz</v>
      </c>
      <c r="L20" s="8" t="n">
        <f aca="false">INDEX(Tabla_Redes!$C$2:$C$5,MATCH(D20,Tabla_Redes!$A$2:$A$5,0))</f>
        <v>4000</v>
      </c>
      <c r="M20" s="47" t="n">
        <f aca="false">G20/F20</f>
        <v>0.0212162420585173</v>
      </c>
      <c r="N20" s="48" t="n">
        <f aca="false">VLOOKUP(D20,Tabla_Redes!$A$2:$D$5,4,FALSE())</f>
        <v>0.02</v>
      </c>
      <c r="O20" s="6" t="str">
        <f aca="false">IF(G20&gt;=L20,"Sí","No")</f>
        <v>No</v>
      </c>
      <c r="P20" s="6" t="str">
        <f aca="false">_xlfn.IFS(M20&gt;=N20*1.2,"Alto",M20&gt;=N20*0.8,"Medio",TRUE(),"Bajo")</f>
        <v>Medio</v>
      </c>
    </row>
    <row r="21" customFormat="false" ht="15" hidden="false" customHeight="false" outlineLevel="0" collapsed="false">
      <c r="A21" s="6" t="n">
        <v>20</v>
      </c>
      <c r="B21" s="7" t="n">
        <v>46074</v>
      </c>
      <c r="C21" s="6" t="s">
        <v>38</v>
      </c>
      <c r="D21" s="6" t="s">
        <v>39</v>
      </c>
      <c r="E21" s="6" t="s">
        <v>42</v>
      </c>
      <c r="F21" s="8" t="n">
        <v>110600</v>
      </c>
      <c r="G21" s="8" t="n">
        <v>3838</v>
      </c>
      <c r="H21" s="8" t="n">
        <v>116</v>
      </c>
      <c r="I21" s="8" t="n">
        <v>173</v>
      </c>
      <c r="J21" s="9" t="n">
        <v>500</v>
      </c>
      <c r="K21" s="6" t="str">
        <f aca="false">VLOOKUP(D21,Tabla_Redes!$A$2:$D$5,2,FALSE())</f>
        <v>Pablo Islas</v>
      </c>
      <c r="L21" s="8" t="n">
        <f aca="false">INDEX(Tabla_Redes!$C$2:$C$5,MATCH(D21,Tabla_Redes!$A$2:$A$5,0))</f>
        <v>3000</v>
      </c>
      <c r="M21" s="47" t="n">
        <f aca="false">G21/F21</f>
        <v>0.0347016274864376</v>
      </c>
      <c r="N21" s="48" t="n">
        <f aca="false">VLOOKUP(D21,Tabla_Redes!$A$2:$D$5,4,FALSE())</f>
        <v>0.018</v>
      </c>
      <c r="O21" s="6" t="str">
        <f aca="false">IF(G21&gt;=L21,"Sí","No")</f>
        <v>Sí</v>
      </c>
      <c r="P21" s="6" t="str">
        <f aca="false">_xlfn.IFS(M21&gt;=N21*1.2,"Alto",M21&gt;=N21*0.8,"Medio",TRUE(),"Bajo")</f>
        <v>Alto</v>
      </c>
    </row>
    <row r="22" customFormat="false" ht="15" hidden="false" customHeight="false" outlineLevel="0" collapsed="false">
      <c r="A22" s="6" t="n">
        <v>21</v>
      </c>
      <c r="B22" s="7" t="n">
        <v>46084</v>
      </c>
      <c r="C22" s="6" t="s">
        <v>30</v>
      </c>
      <c r="D22" s="6" t="s">
        <v>31</v>
      </c>
      <c r="E22" s="6" t="s">
        <v>40</v>
      </c>
      <c r="F22" s="8" t="n">
        <v>311925</v>
      </c>
      <c r="G22" s="8" t="n">
        <v>12132</v>
      </c>
      <c r="H22" s="8" t="n">
        <v>470</v>
      </c>
      <c r="I22" s="8" t="n">
        <v>868</v>
      </c>
      <c r="J22" s="9" t="n">
        <v>1500</v>
      </c>
      <c r="K22" s="6" t="str">
        <f aca="false">VLOOKUP(D22,Tabla_Redes!$A$2:$D$5,2,FALSE())</f>
        <v>Sofía Nava</v>
      </c>
      <c r="L22" s="8" t="n">
        <f aca="false">INDEX(Tabla_Redes!$C$2:$C$5,MATCH(D22,Tabla_Redes!$A$2:$A$5,0))</f>
        <v>8000</v>
      </c>
      <c r="M22" s="47" t="n">
        <f aca="false">G22/F22</f>
        <v>0.0388939648954076</v>
      </c>
      <c r="N22" s="48" t="n">
        <f aca="false">VLOOKUP(D22,Tabla_Redes!$A$2:$D$5,4,FALSE())</f>
        <v>0.035</v>
      </c>
      <c r="O22" s="6" t="str">
        <f aca="false">IF(G22&gt;=L22,"Sí","No")</f>
        <v>Sí</v>
      </c>
      <c r="P22" s="6" t="str">
        <f aca="false">_xlfn.IFS(M22&gt;=N22*1.2,"Alto",M22&gt;=N22*0.8,"Medio",TRUE(),"Bajo")</f>
        <v>Medio</v>
      </c>
    </row>
    <row r="23" customFormat="false" ht="15" hidden="false" customHeight="false" outlineLevel="0" collapsed="false">
      <c r="A23" s="6" t="n">
        <v>22</v>
      </c>
      <c r="B23" s="7" t="n">
        <v>46121</v>
      </c>
      <c r="C23" s="6" t="s">
        <v>33</v>
      </c>
      <c r="D23" s="6" t="s">
        <v>34</v>
      </c>
      <c r="E23" s="6" t="s">
        <v>41</v>
      </c>
      <c r="F23" s="8" t="n">
        <v>254412</v>
      </c>
      <c r="G23" s="8" t="n">
        <v>20980</v>
      </c>
      <c r="H23" s="8" t="n">
        <v>1774</v>
      </c>
      <c r="I23" s="8" t="n">
        <v>1520</v>
      </c>
      <c r="J23" s="9" t="n">
        <v>3000</v>
      </c>
      <c r="K23" s="6" t="str">
        <f aca="false">VLOOKUP(D23,Tabla_Redes!$A$2:$D$5,2,FALSE())</f>
        <v>Diego Marín</v>
      </c>
      <c r="L23" s="8" t="n">
        <f aca="false">INDEX(Tabla_Redes!$C$2:$C$5,MATCH(D23,Tabla_Redes!$A$2:$A$5,0))</f>
        <v>12000</v>
      </c>
      <c r="M23" s="47" t="n">
        <f aca="false">G23/F23</f>
        <v>0.0824646636164961</v>
      </c>
      <c r="N23" s="48" t="n">
        <f aca="false">VLOOKUP(D23,Tabla_Redes!$A$2:$D$5,4,FALSE())</f>
        <v>0.055</v>
      </c>
      <c r="O23" s="6" t="str">
        <f aca="false">IF(G23&gt;=L23,"Sí","No")</f>
        <v>Sí</v>
      </c>
      <c r="P23" s="6" t="str">
        <f aca="false">_xlfn.IFS(M23&gt;=N23*1.2,"Alto",M23&gt;=N23*0.8,"Medio",TRUE(),"Bajo")</f>
        <v>Alto</v>
      </c>
    </row>
    <row r="24" customFormat="false" ht="15" hidden="false" customHeight="false" outlineLevel="0" collapsed="false">
      <c r="A24" s="6" t="n">
        <v>23</v>
      </c>
      <c r="B24" s="7" t="n">
        <v>46157</v>
      </c>
      <c r="C24" s="6" t="s">
        <v>36</v>
      </c>
      <c r="D24" s="6" t="s">
        <v>37</v>
      </c>
      <c r="E24" s="6" t="s">
        <v>44</v>
      </c>
      <c r="F24" s="8" t="n">
        <v>223703</v>
      </c>
      <c r="G24" s="8" t="n">
        <v>10049</v>
      </c>
      <c r="H24" s="8" t="n">
        <v>374</v>
      </c>
      <c r="I24" s="8" t="n">
        <v>583</v>
      </c>
      <c r="J24" s="9" t="n">
        <v>0</v>
      </c>
      <c r="K24" s="6" t="str">
        <f aca="false">VLOOKUP(D24,Tabla_Redes!$A$2:$D$5,2,FALSE())</f>
        <v>Renata Cruz</v>
      </c>
      <c r="L24" s="8" t="n">
        <f aca="false">INDEX(Tabla_Redes!$C$2:$C$5,MATCH(D24,Tabla_Redes!$A$2:$A$5,0))</f>
        <v>4000</v>
      </c>
      <c r="M24" s="47" t="n">
        <f aca="false">G24/F24</f>
        <v>0.0449211677983755</v>
      </c>
      <c r="N24" s="48" t="n">
        <f aca="false">VLOOKUP(D24,Tabla_Redes!$A$2:$D$5,4,FALSE())</f>
        <v>0.02</v>
      </c>
      <c r="O24" s="6" t="str">
        <f aca="false">IF(G24&gt;=L24,"Sí","No")</f>
        <v>Sí</v>
      </c>
      <c r="P24" s="6" t="str">
        <f aca="false">_xlfn.IFS(M24&gt;=N24*1.2,"Alto",M24&gt;=N24*0.8,"Medio",TRUE(),"Bajo")</f>
        <v>Alto</v>
      </c>
    </row>
    <row r="25" customFormat="false" ht="15" hidden="false" customHeight="false" outlineLevel="0" collapsed="false">
      <c r="A25" s="6" t="n">
        <v>24</v>
      </c>
      <c r="B25" s="7" t="n">
        <v>46194</v>
      </c>
      <c r="C25" s="6" t="s">
        <v>38</v>
      </c>
      <c r="D25" s="6" t="s">
        <v>39</v>
      </c>
      <c r="E25" s="6" t="s">
        <v>32</v>
      </c>
      <c r="F25" s="8" t="n">
        <v>50309</v>
      </c>
      <c r="G25" s="8" t="n">
        <v>4469</v>
      </c>
      <c r="H25" s="8" t="n">
        <v>271</v>
      </c>
      <c r="I25" s="8" t="n">
        <v>118</v>
      </c>
      <c r="J25" s="9" t="n">
        <v>1500</v>
      </c>
      <c r="K25" s="6" t="str">
        <f aca="false">VLOOKUP(D25,Tabla_Redes!$A$2:$D$5,2,FALSE())</f>
        <v>Pablo Islas</v>
      </c>
      <c r="L25" s="8" t="n">
        <f aca="false">INDEX(Tabla_Redes!$C$2:$C$5,MATCH(D25,Tabla_Redes!$A$2:$A$5,0))</f>
        <v>3000</v>
      </c>
      <c r="M25" s="47" t="n">
        <f aca="false">G25/F25</f>
        <v>0.0888310242700113</v>
      </c>
      <c r="N25" s="48" t="n">
        <f aca="false">VLOOKUP(D25,Tabla_Redes!$A$2:$D$5,4,FALSE())</f>
        <v>0.018</v>
      </c>
      <c r="O25" s="6" t="str">
        <f aca="false">IF(G25&gt;=L25,"Sí","No")</f>
        <v>Sí</v>
      </c>
      <c r="P25" s="6" t="str">
        <f aca="false">_xlfn.IFS(M25&gt;=N25*1.2,"Alto",M25&gt;=N25*0.8,"Medio",TRUE(),"Bajo")</f>
        <v>Alto</v>
      </c>
    </row>
    <row r="26" customFormat="false" ht="15" hidden="false" customHeight="false" outlineLevel="0" collapsed="false">
      <c r="A26" s="6" t="n">
        <v>25</v>
      </c>
      <c r="B26" s="7" t="n">
        <v>46025</v>
      </c>
      <c r="C26" s="6" t="s">
        <v>30</v>
      </c>
      <c r="D26" s="6" t="s">
        <v>31</v>
      </c>
      <c r="E26" s="6" t="s">
        <v>43</v>
      </c>
      <c r="F26" s="8" t="n">
        <v>68676</v>
      </c>
      <c r="G26" s="8" t="n">
        <v>1031</v>
      </c>
      <c r="H26" s="8" t="n">
        <v>41</v>
      </c>
      <c r="I26" s="8" t="n">
        <v>26</v>
      </c>
      <c r="J26" s="9" t="n">
        <v>500</v>
      </c>
      <c r="K26" s="6" t="str">
        <f aca="false">VLOOKUP(D26,Tabla_Redes!$A$2:$D$5,2,FALSE())</f>
        <v>Sofía Nava</v>
      </c>
      <c r="L26" s="8" t="n">
        <f aca="false">INDEX(Tabla_Redes!$C$2:$C$5,MATCH(D26,Tabla_Redes!$A$2:$A$5,0))</f>
        <v>8000</v>
      </c>
      <c r="M26" s="47" t="n">
        <f aca="false">G26/F26</f>
        <v>0.0150125225697478</v>
      </c>
      <c r="N26" s="48" t="n">
        <f aca="false">VLOOKUP(D26,Tabla_Redes!$A$2:$D$5,4,FALSE())</f>
        <v>0.035</v>
      </c>
      <c r="O26" s="6" t="str">
        <f aca="false">IF(G26&gt;=L26,"Sí","No")</f>
        <v>No</v>
      </c>
      <c r="P26" s="6" t="str">
        <f aca="false">_xlfn.IFS(M26&gt;=N26*1.2,"Alto",M26&gt;=N26*0.8,"Medio",TRUE(),"Bajo")</f>
        <v>Bajo</v>
      </c>
    </row>
    <row r="27" customFormat="false" ht="15" hidden="false" customHeight="false" outlineLevel="0" collapsed="false">
      <c r="A27" s="6" t="n">
        <v>26</v>
      </c>
      <c r="B27" s="7" t="n">
        <v>46062</v>
      </c>
      <c r="C27" s="6" t="s">
        <v>33</v>
      </c>
      <c r="D27" s="6" t="s">
        <v>34</v>
      </c>
      <c r="E27" s="6" t="s">
        <v>41</v>
      </c>
      <c r="F27" s="8" t="n">
        <v>51865</v>
      </c>
      <c r="G27" s="8" t="n">
        <v>4179</v>
      </c>
      <c r="H27" s="8" t="n">
        <v>305</v>
      </c>
      <c r="I27" s="8" t="n">
        <v>120</v>
      </c>
      <c r="J27" s="9" t="n">
        <v>500</v>
      </c>
      <c r="K27" s="6" t="str">
        <f aca="false">VLOOKUP(D27,Tabla_Redes!$A$2:$D$5,2,FALSE())</f>
        <v>Diego Marín</v>
      </c>
      <c r="L27" s="8" t="n">
        <f aca="false">INDEX(Tabla_Redes!$C$2:$C$5,MATCH(D27,Tabla_Redes!$A$2:$A$5,0))</f>
        <v>12000</v>
      </c>
      <c r="M27" s="47" t="n">
        <f aca="false">G27/F27</f>
        <v>0.0805745685915357</v>
      </c>
      <c r="N27" s="48" t="n">
        <f aca="false">VLOOKUP(D27,Tabla_Redes!$A$2:$D$5,4,FALSE())</f>
        <v>0.055</v>
      </c>
      <c r="O27" s="6" t="str">
        <f aca="false">IF(G27&gt;=L27,"Sí","No")</f>
        <v>No</v>
      </c>
      <c r="P27" s="6" t="str">
        <f aca="false">_xlfn.IFS(M27&gt;=N27*1.2,"Alto",M27&gt;=N27*0.8,"Medio",TRUE(),"Bajo")</f>
        <v>Alto</v>
      </c>
    </row>
    <row r="28" customFormat="false" ht="15" hidden="false" customHeight="false" outlineLevel="0" collapsed="false">
      <c r="A28" s="6" t="n">
        <v>27</v>
      </c>
      <c r="B28" s="7" t="n">
        <v>46096</v>
      </c>
      <c r="C28" s="6" t="s">
        <v>36</v>
      </c>
      <c r="D28" s="6" t="s">
        <v>37</v>
      </c>
      <c r="E28" s="6" t="s">
        <v>44</v>
      </c>
      <c r="F28" s="8" t="n">
        <v>205926</v>
      </c>
      <c r="G28" s="8" t="n">
        <v>10411</v>
      </c>
      <c r="H28" s="8" t="n">
        <v>396</v>
      </c>
      <c r="I28" s="8" t="n">
        <v>513</v>
      </c>
      <c r="J28" s="9" t="n">
        <v>1000</v>
      </c>
      <c r="K28" s="6" t="str">
        <f aca="false">VLOOKUP(D28,Tabla_Redes!$A$2:$D$5,2,FALSE())</f>
        <v>Renata Cruz</v>
      </c>
      <c r="L28" s="8" t="n">
        <f aca="false">INDEX(Tabla_Redes!$C$2:$C$5,MATCH(D28,Tabla_Redes!$A$2:$A$5,0))</f>
        <v>4000</v>
      </c>
      <c r="M28" s="47" t="n">
        <f aca="false">G28/F28</f>
        <v>0.0505569962025194</v>
      </c>
      <c r="N28" s="48" t="n">
        <f aca="false">VLOOKUP(D28,Tabla_Redes!$A$2:$D$5,4,FALSE())</f>
        <v>0.02</v>
      </c>
      <c r="O28" s="6" t="str">
        <f aca="false">IF(G28&gt;=L28,"Sí","No")</f>
        <v>Sí</v>
      </c>
      <c r="P28" s="6" t="str">
        <f aca="false">_xlfn.IFS(M28&gt;=N28*1.2,"Alto",M28&gt;=N28*0.8,"Medio",TRUE(),"Bajo")</f>
        <v>Alto</v>
      </c>
    </row>
    <row r="29" customFormat="false" ht="15" hidden="false" customHeight="false" outlineLevel="0" collapsed="false">
      <c r="A29" s="6" t="n">
        <v>28</v>
      </c>
      <c r="B29" s="7" t="n">
        <v>46133</v>
      </c>
      <c r="C29" s="6" t="s">
        <v>38</v>
      </c>
      <c r="D29" s="6" t="s">
        <v>39</v>
      </c>
      <c r="E29" s="6" t="s">
        <v>42</v>
      </c>
      <c r="F29" s="8" t="n">
        <v>268668</v>
      </c>
      <c r="G29" s="8" t="n">
        <v>10313</v>
      </c>
      <c r="H29" s="8" t="n">
        <v>413</v>
      </c>
      <c r="I29" s="8" t="n">
        <v>670</v>
      </c>
      <c r="J29" s="9" t="n">
        <v>2000</v>
      </c>
      <c r="K29" s="6" t="str">
        <f aca="false">VLOOKUP(D29,Tabla_Redes!$A$2:$D$5,2,FALSE())</f>
        <v>Pablo Islas</v>
      </c>
      <c r="L29" s="8" t="n">
        <f aca="false">INDEX(Tabla_Redes!$C$2:$C$5,MATCH(D29,Tabla_Redes!$A$2:$A$5,0))</f>
        <v>3000</v>
      </c>
      <c r="M29" s="47" t="n">
        <f aca="false">G29/F29</f>
        <v>0.0383856655798234</v>
      </c>
      <c r="N29" s="48" t="n">
        <f aca="false">VLOOKUP(D29,Tabla_Redes!$A$2:$D$5,4,FALSE())</f>
        <v>0.018</v>
      </c>
      <c r="O29" s="6" t="str">
        <f aca="false">IF(G29&gt;=L29,"Sí","No")</f>
        <v>Sí</v>
      </c>
      <c r="P29" s="6" t="str">
        <f aca="false">_xlfn.IFS(M29&gt;=N29*1.2,"Alto",M29&gt;=N29*0.8,"Medio",TRUE(),"Bajo")</f>
        <v>Alto</v>
      </c>
    </row>
    <row r="30" customFormat="false" ht="15" hidden="false" customHeight="false" outlineLevel="0" collapsed="false">
      <c r="A30" s="6" t="n">
        <v>29</v>
      </c>
      <c r="B30" s="7" t="n">
        <v>46145</v>
      </c>
      <c r="C30" s="6" t="s">
        <v>30</v>
      </c>
      <c r="D30" s="6" t="s">
        <v>31</v>
      </c>
      <c r="E30" s="6" t="s">
        <v>32</v>
      </c>
      <c r="F30" s="8" t="n">
        <v>265935</v>
      </c>
      <c r="G30" s="8" t="n">
        <v>20520</v>
      </c>
      <c r="H30" s="8" t="n">
        <v>847</v>
      </c>
      <c r="I30" s="8" t="n">
        <v>438</v>
      </c>
      <c r="J30" s="9" t="n">
        <v>1500</v>
      </c>
      <c r="K30" s="6" t="str">
        <f aca="false">VLOOKUP(D30,Tabla_Redes!$A$2:$D$5,2,FALSE())</f>
        <v>Sofía Nava</v>
      </c>
      <c r="L30" s="8" t="n">
        <f aca="false">INDEX(Tabla_Redes!$C$2:$C$5,MATCH(D30,Tabla_Redes!$A$2:$A$5,0))</f>
        <v>8000</v>
      </c>
      <c r="M30" s="47" t="n">
        <f aca="false">G30/F30</f>
        <v>0.0771617124485307</v>
      </c>
      <c r="N30" s="48" t="n">
        <f aca="false">VLOOKUP(D30,Tabla_Redes!$A$2:$D$5,4,FALSE())</f>
        <v>0.035</v>
      </c>
      <c r="O30" s="6" t="str">
        <f aca="false">IF(G30&gt;=L30,"Sí","No")</f>
        <v>Sí</v>
      </c>
      <c r="P30" s="6" t="str">
        <f aca="false">_xlfn.IFS(M30&gt;=N30*1.2,"Alto",M30&gt;=N30*0.8,"Medio",TRUE(),"Bajo")</f>
        <v>Alto</v>
      </c>
    </row>
    <row r="31" customFormat="false" ht="15" hidden="false" customHeight="false" outlineLevel="0" collapsed="false">
      <c r="A31" s="6" t="n">
        <v>30</v>
      </c>
      <c r="B31" s="7" t="n">
        <v>46182</v>
      </c>
      <c r="C31" s="6" t="s">
        <v>33</v>
      </c>
      <c r="D31" s="6" t="s">
        <v>34</v>
      </c>
      <c r="E31" s="6" t="s">
        <v>35</v>
      </c>
      <c r="F31" s="8" t="n">
        <v>91861</v>
      </c>
      <c r="G31" s="8" t="n">
        <v>6132</v>
      </c>
      <c r="H31" s="8" t="n">
        <v>576</v>
      </c>
      <c r="I31" s="8" t="n">
        <v>401</v>
      </c>
      <c r="J31" s="9" t="n">
        <v>500</v>
      </c>
      <c r="K31" s="6" t="str">
        <f aca="false">VLOOKUP(D31,Tabla_Redes!$A$2:$D$5,2,FALSE())</f>
        <v>Diego Marín</v>
      </c>
      <c r="L31" s="8" t="n">
        <f aca="false">INDEX(Tabla_Redes!$C$2:$C$5,MATCH(D31,Tabla_Redes!$A$2:$A$5,0))</f>
        <v>12000</v>
      </c>
      <c r="M31" s="47" t="n">
        <f aca="false">G31/F31</f>
        <v>0.0667530290329955</v>
      </c>
      <c r="N31" s="48" t="n">
        <f aca="false">VLOOKUP(D31,Tabla_Redes!$A$2:$D$5,4,FALSE())</f>
        <v>0.055</v>
      </c>
      <c r="O31" s="6" t="str">
        <f aca="false">IF(G31&gt;=L31,"Sí","No")</f>
        <v>No</v>
      </c>
      <c r="P31" s="6" t="str">
        <f aca="false">_xlfn.IFS(M31&gt;=N31*1.2,"Alto",M31&gt;=N31*0.8,"Medio",TRUE(),"Bajo")</f>
        <v>Alto</v>
      </c>
    </row>
    <row r="33" customFormat="false" ht="15" hidden="false" customHeight="false" outlineLevel="0" collapsed="false">
      <c r="A33" s="4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2026-08-05T16:22:31Z</dcterms:created>
  <dc:creator>openpyxl</dc:creator>
  <dc:description/>
  <dc:language>en-US</dc:language>
  <cp:lastModifiedBy/>
  <dcterms:modified xsi:type="dcterms:W3CDTF">2026-08-05T11:36:33Z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