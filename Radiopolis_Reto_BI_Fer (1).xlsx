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y Retos" sheetId="1" r:id="rId5"/>
    <sheet state="visible" name="DimAnunciantes" sheetId="2" r:id="rId6"/>
    <sheet state="visible" name="FactCampañas" sheetId="3" r:id="rId7"/>
    <sheet state="visible" name="Tabla dinámica 1" sheetId="4" r:id="rId8"/>
  </sheets>
  <definedNames>
    <definedName hidden="1" localSheetId="2" name="Z_F38118C0_117C_4A7F_9C64_0BB1BFECF8DF_.wvu.FilterData">'FactCampañas'!$A$1:$L$85</definedName>
    <definedName hidden="1" localSheetId="1" name="Z_3757B342_6D94_48D8_97AA_AE197315F1DB_.wvu.FilterData">DimAnunciantes!$A$1:$D$11</definedName>
  </definedNames>
  <calcPr/>
  <customWorkbookViews>
    <customWorkbookView activeSheetId="0" maximized="1" windowHeight="0" windowWidth="0" guid="{F38118C0-117C-4A7F-9C64-0BB1BFECF8DF}" name="FactCampanas filter view"/>
    <customWorkbookView activeSheetId="0" maximized="1" windowHeight="0" windowWidth="0" guid="{3757B342-6D94-48D8-97AA-AE197315F1DB}" name="DimAnunciantes filter view"/>
  </customWorkbookViews>
  <pivotCaches>
    <pivotCache cacheId="0" r:id="rId9"/>
  </pivotCaches>
</workbook>
</file>

<file path=xl/sharedStrings.xml><?xml version="1.0" encoding="utf-8"?>
<sst xmlns="http://schemas.openxmlformats.org/spreadsheetml/2006/main" count="671" uniqueCount="181">
  <si>
    <t>¡Bienvenido a tu primer reto, Fer!</t>
  </si>
  <si>
    <t>Tu objetivo es modelar y analizar estas pautas. Completa los siguientes retos:</t>
  </si>
  <si>
    <t>1. Fundamentos: Las hojas 'DimAnunciantes' y 'FactCampañas' tienen datos crudos. Conviértelos en Tablas de Excel formales (Ctrl+T).</t>
  </si>
  <si>
    <t>2. Cruce de Datos (BUSCARX): En 'FactCampañas', agrega 3 columnas nuevas y trae Marca, Sector y Ejecutivo desde 'DimAnunciantes' usando ID_Anunciante.</t>
  </si>
  <si>
    <t>3. Automatización ($): Escribe el % de comisión de agencia (ej. 12%) en la celda J2 de esta hoja. Crea una columna 'Comisión' en la Fact, calculándola con referencia absoluta ($).</t>
  </si>
  <si>
    <t>4. Lógica (SI): Crea una columna 'Clasificación' en la Fact. Si la inversión &gt; 80,000, es 'Premium', de lo contrario 'Estándar'.</t>
  </si>
  <si>
    <t>5. Agregaciones: En celdas vacías, usa SUMAR.SI (SUMIFS) para sumar la Inversión total que cayó únicamente en la estación 'Los 40'.</t>
  </si>
  <si>
    <t>6. Tablas Dinámicas: Inserta una Tabla Dinámica en una nueva hoja. Analiza Inversión por Sector (Filas) y Estación (Columnas).</t>
  </si>
  <si>
    <t>7. Data Viz: Añade un Gráfico de Barras agrupadas conectado a la tabla. Limpia el ruido visual y añade etiquetas de datos.</t>
  </si>
  <si>
    <t>ID_Anunciante</t>
  </si>
  <si>
    <t>ID_Campaña</t>
  </si>
  <si>
    <t>Marca</t>
  </si>
  <si>
    <t>Fecha</t>
  </si>
  <si>
    <t>Sector</t>
  </si>
  <si>
    <t>Ejecutivo_Asignado</t>
  </si>
  <si>
    <t>Estacion</t>
  </si>
  <si>
    <t>A001</t>
  </si>
  <si>
    <t>Formato</t>
  </si>
  <si>
    <t>Coca-Cola</t>
  </si>
  <si>
    <t>Inversion_MXN</t>
  </si>
  <si>
    <t>Bebidas</t>
  </si>
  <si>
    <t>Roberto M.</t>
  </si>
  <si>
    <t>Impactos_Estimados</t>
  </si>
  <si>
    <t>A002</t>
  </si>
  <si>
    <t>MARCA</t>
  </si>
  <si>
    <t>Nissan</t>
  </si>
  <si>
    <t>Automotriz</t>
  </si>
  <si>
    <t>Laura T.</t>
  </si>
  <si>
    <t>SECTOR</t>
  </si>
  <si>
    <t>A003</t>
  </si>
  <si>
    <t>EJECUTIVO</t>
  </si>
  <si>
    <t>Spotify</t>
  </si>
  <si>
    <t>COMISION</t>
  </si>
  <si>
    <t>Entretenimiento</t>
  </si>
  <si>
    <t>CLASIFICACION</t>
  </si>
  <si>
    <t>A004</t>
  </si>
  <si>
    <t>Los 40</t>
  </si>
  <si>
    <t>Telcel</t>
  </si>
  <si>
    <t>CMP-165</t>
  </si>
  <si>
    <t>Telecomunicaciones</t>
  </si>
  <si>
    <t>Carlos V.</t>
  </si>
  <si>
    <t>2026-08-01</t>
  </si>
  <si>
    <t>A005</t>
  </si>
  <si>
    <t>Bimbo</t>
  </si>
  <si>
    <t>Ke Buena</t>
  </si>
  <si>
    <t>Alimentos</t>
  </si>
  <si>
    <t>Patrocinio</t>
  </si>
  <si>
    <t>A006</t>
  </si>
  <si>
    <t>Netflix</t>
  </si>
  <si>
    <t>A007</t>
  </si>
  <si>
    <t>Banorte</t>
  </si>
  <si>
    <t>Finanzas</t>
  </si>
  <si>
    <t>A008</t>
  </si>
  <si>
    <t>Cinépolis</t>
  </si>
  <si>
    <t>A009</t>
  </si>
  <si>
    <t>Samsung</t>
  </si>
  <si>
    <t>Electrónica</t>
  </si>
  <si>
    <t>A010</t>
  </si>
  <si>
    <t>Uber</t>
  </si>
  <si>
    <t>Tecnología</t>
  </si>
  <si>
    <t>CMP-174</t>
  </si>
  <si>
    <t>W Radio</t>
  </si>
  <si>
    <t>Entrevista</t>
  </si>
  <si>
    <t>CMP-132</t>
  </si>
  <si>
    <t>Mención</t>
  </si>
  <si>
    <t>CMP-114</t>
  </si>
  <si>
    <t>2026-08-02</t>
  </si>
  <si>
    <t>Radiópolis (Multicadena)</t>
  </si>
  <si>
    <t>CMP-162</t>
  </si>
  <si>
    <t>Spot 30s</t>
  </si>
  <si>
    <t>CMP-103</t>
  </si>
  <si>
    <t>2026-08-03</t>
  </si>
  <si>
    <t>Cápsula</t>
  </si>
  <si>
    <t>SUM de Inversion_MXN</t>
  </si>
  <si>
    <t>CMP-126</t>
  </si>
  <si>
    <t>2026-08-04</t>
  </si>
  <si>
    <t>Suma total</t>
  </si>
  <si>
    <t>CMP-122</t>
  </si>
  <si>
    <t>CMP-138</t>
  </si>
  <si>
    <t>CMP-153</t>
  </si>
  <si>
    <t>2026-08-05</t>
  </si>
  <si>
    <t>CMP-147</t>
  </si>
  <si>
    <t>2026-08-06</t>
  </si>
  <si>
    <t>CMP-123</t>
  </si>
  <si>
    <t>CMP-139</t>
  </si>
  <si>
    <t>CMP-177</t>
  </si>
  <si>
    <t>2026-08-07</t>
  </si>
  <si>
    <t>CMP-106</t>
  </si>
  <si>
    <t>CMP-180</t>
  </si>
  <si>
    <t>CMP-131</t>
  </si>
  <si>
    <t>2026-08-08</t>
  </si>
  <si>
    <t>CMP-182</t>
  </si>
  <si>
    <t>CMP-163</t>
  </si>
  <si>
    <t>CMP-171</t>
  </si>
  <si>
    <t>2026-08-09</t>
  </si>
  <si>
    <t>CMP-112</t>
  </si>
  <si>
    <t>CMP-151</t>
  </si>
  <si>
    <t>2026-08-10</t>
  </si>
  <si>
    <t>CMP-159</t>
  </si>
  <si>
    <t>2026-08-11</t>
  </si>
  <si>
    <t>CMP-150</t>
  </si>
  <si>
    <t>CMP-136</t>
  </si>
  <si>
    <t>2026-08-12</t>
  </si>
  <si>
    <t>CMP-172</t>
  </si>
  <si>
    <t>CMP-113</t>
  </si>
  <si>
    <t>2026-08-13</t>
  </si>
  <si>
    <t>CMP-143</t>
  </si>
  <si>
    <t>CMP-118</t>
  </si>
  <si>
    <t>CMP-130</t>
  </si>
  <si>
    <t>CMP-149</t>
  </si>
  <si>
    <t>2026-08-14</t>
  </si>
  <si>
    <t>CMP-160</t>
  </si>
  <si>
    <t>CMP-120</t>
  </si>
  <si>
    <t>CMP-121</t>
  </si>
  <si>
    <t>2026-08-15</t>
  </si>
  <si>
    <t>CMP-111</t>
  </si>
  <si>
    <t>CMP-154</t>
  </si>
  <si>
    <t>CMP-183</t>
  </si>
  <si>
    <t>2026-08-16</t>
  </si>
  <si>
    <t>CMP-134</t>
  </si>
  <si>
    <t>CMP-135</t>
  </si>
  <si>
    <t>CMP-146</t>
  </si>
  <si>
    <t>CMP-124</t>
  </si>
  <si>
    <t>2026-08-17</t>
  </si>
  <si>
    <t>CMP-128</t>
  </si>
  <si>
    <t>2026-08-18</t>
  </si>
  <si>
    <t>CMP-117</t>
  </si>
  <si>
    <t>CMP-127</t>
  </si>
  <si>
    <t>2026-08-19</t>
  </si>
  <si>
    <t>CMP-179</t>
  </si>
  <si>
    <t>CMP-152</t>
  </si>
  <si>
    <t>CMP-184</t>
  </si>
  <si>
    <t>CMP-109</t>
  </si>
  <si>
    <t>2026-08-20</t>
  </si>
  <si>
    <t>CMP-101</t>
  </si>
  <si>
    <t>2026-08-21</t>
  </si>
  <si>
    <t>CMP-137</t>
  </si>
  <si>
    <t>CMP-181</t>
  </si>
  <si>
    <t>2026-08-22</t>
  </si>
  <si>
    <t>CMP-168</t>
  </si>
  <si>
    <t>CMP-176</t>
  </si>
  <si>
    <t>CMP-175</t>
  </si>
  <si>
    <t>CMP-104</t>
  </si>
  <si>
    <t>2026-08-23</t>
  </si>
  <si>
    <t>CMP-157</t>
  </si>
  <si>
    <t>CMP-161</t>
  </si>
  <si>
    <t>CMP-144</t>
  </si>
  <si>
    <t>2026-08-24</t>
  </si>
  <si>
    <t>CMP-102</t>
  </si>
  <si>
    <t>CMP-164</t>
  </si>
  <si>
    <t>CMP-110</t>
  </si>
  <si>
    <t>2026-08-25</t>
  </si>
  <si>
    <t>CMP-125</t>
  </si>
  <si>
    <t>CMP-119</t>
  </si>
  <si>
    <t>CMP-105</t>
  </si>
  <si>
    <t>2026-08-26</t>
  </si>
  <si>
    <t>CMP-166</t>
  </si>
  <si>
    <t>CMP-167</t>
  </si>
  <si>
    <t>2026-08-27</t>
  </si>
  <si>
    <t>CMP-170</t>
  </si>
  <si>
    <t>CMP-155</t>
  </si>
  <si>
    <t>CMP-178</t>
  </si>
  <si>
    <t>CMP-107</t>
  </si>
  <si>
    <t>2026-08-28</t>
  </si>
  <si>
    <t>CMP-142</t>
  </si>
  <si>
    <t>CMP-129</t>
  </si>
  <si>
    <t>CMP-133</t>
  </si>
  <si>
    <t>CMP-140</t>
  </si>
  <si>
    <t>CMP-173</t>
  </si>
  <si>
    <t>2026-08-29</t>
  </si>
  <si>
    <t>CMP-148</t>
  </si>
  <si>
    <t>CMP-158</t>
  </si>
  <si>
    <t>CMP-156</t>
  </si>
  <si>
    <t>CMP-108</t>
  </si>
  <si>
    <t>2026-08-30</t>
  </si>
  <si>
    <t>CMP-116</t>
  </si>
  <si>
    <t>CMP-141</t>
  </si>
  <si>
    <t>CMP-169</t>
  </si>
  <si>
    <t>2026-08-31</t>
  </si>
  <si>
    <t>CMP-115</t>
  </si>
  <si>
    <t>CMP-145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</si>
</sst>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1.0"/>
      <color theme="1"/>
      <name val="Calibri"/>
      <scheme val="minor"/>
    </font>
    <font>
      <b/>
      <sz val="16.0"/>
      <color rgb="FF003366"/>
      <name val="Calibri"/>
      <scheme val="minor"/>
    </font>
    <font>
      <color theme="1"/>
      <name val="Calibri"/>
      <scheme val="minor"/>
    </font>
    <font>
      <sz val="12.0"/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5" numFmtId="164" xfId="0" applyAlignment="1" applyFont="1" applyNumberFormat="1">
      <alignment shrinkToFit="0" vertical="center" wrapText="0"/>
    </xf>
    <xf borderId="0" fillId="0" fontId="5" numFmtId="3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2" numFmtId="165" xfId="0" applyFont="1" applyNumberForma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DimAnunciante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FactCampañas-style">
      <tableStyleElement dxfId="2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 Buena, Los 40, Radiópolis (Multicadena), W Radio y Suma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'Tabla dinámica 1'!$B$1:$B$2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'Tabla dinámica 1'!$A$3:$A$10</c:f>
            </c:strRef>
          </c:cat>
          <c:val>
            <c:numRef>
              <c:f>'Tabla dinámica 1'!$B$3:$B$10</c:f>
              <c:numCache/>
            </c:numRef>
          </c:val>
        </c:ser>
        <c:ser>
          <c:idx val="1"/>
          <c:order val="1"/>
          <c:tx>
            <c:strRef>
              <c:f>'Tabla dinámica 1'!$C$1:$C$2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'Tabla dinámica 1'!$A$3:$A$10</c:f>
            </c:strRef>
          </c:cat>
          <c:val>
            <c:numRef>
              <c:f>'Tabla dinámica 1'!$C$3:$C$10</c:f>
              <c:numCache/>
            </c:numRef>
          </c:val>
        </c:ser>
        <c:ser>
          <c:idx val="2"/>
          <c:order val="2"/>
          <c:tx>
            <c:strRef>
              <c:f>'Tabla dinámica 1'!$D$1:$D$2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'Tabla dinámica 1'!$A$3:$A$10</c:f>
            </c:strRef>
          </c:cat>
          <c:val>
            <c:numRef>
              <c:f>'Tabla dinámica 1'!$D$3:$D$10</c:f>
              <c:numCache/>
            </c:numRef>
          </c:val>
        </c:ser>
        <c:ser>
          <c:idx val="3"/>
          <c:order val="3"/>
          <c:tx>
            <c:strRef>
              <c:f>'Tabla dinámica 1'!$E$1:$E$2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'Tabla dinámica 1'!$A$3:$A$10</c:f>
            </c:strRef>
          </c:cat>
          <c:val>
            <c:numRef>
              <c:f>'Tabla dinámica 1'!$E$3:$E$10</c:f>
              <c:numCache/>
            </c:numRef>
          </c:val>
        </c:ser>
        <c:ser>
          <c:idx val="4"/>
          <c:order val="4"/>
          <c:tx>
            <c:strRef>
              <c:f>'Tabla dinámica 1'!$F$1:$F$2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'Tabla dinámica 1'!$A$3:$A$10</c:f>
            </c:strRef>
          </c:cat>
          <c:val>
            <c:numRef>
              <c:f>'Tabla dinámica 1'!$F$3:$F$10</c:f>
              <c:numCache/>
            </c:numRef>
          </c:val>
        </c:ser>
        <c:overlap val="100"/>
        <c:axId val="996220945"/>
        <c:axId val="1470213062"/>
      </c:barChart>
      <c:catAx>
        <c:axId val="996220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213062"/>
      </c:catAx>
      <c:valAx>
        <c:axId val="1470213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220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85" sheet="FactCampañas"/>
  </cacheSource>
  <cacheFields>
    <cacheField name="ID_Campaña" numFmtId="0">
      <sharedItems>
        <s v="CMP-165"/>
        <s v="CMP-174"/>
        <s v="CMP-132"/>
        <s v="CMP-114"/>
        <s v="CMP-162"/>
        <s v="CMP-103"/>
        <s v="CMP-126"/>
        <s v="CMP-122"/>
        <s v="CMP-138"/>
        <s v="CMP-153"/>
        <s v="CMP-147"/>
        <s v="CMP-123"/>
        <s v="CMP-139"/>
        <s v="CMP-177"/>
        <s v="CMP-106"/>
        <s v="CMP-180"/>
        <s v="CMP-131"/>
        <s v="CMP-182"/>
        <s v="CMP-163"/>
        <s v="CMP-171"/>
        <s v="CMP-112"/>
        <s v="CMP-151"/>
        <s v="CMP-159"/>
        <s v="CMP-150"/>
        <s v="CMP-136"/>
        <s v="CMP-172"/>
        <s v="CMP-113"/>
        <s v="CMP-143"/>
        <s v="CMP-118"/>
        <s v="CMP-130"/>
        <s v="CMP-149"/>
        <s v="CMP-160"/>
        <s v="CMP-120"/>
        <s v="CMP-121"/>
        <s v="CMP-111"/>
        <s v="CMP-154"/>
        <s v="CMP-183"/>
        <s v="CMP-134"/>
        <s v="CMP-135"/>
        <s v="CMP-146"/>
        <s v="CMP-124"/>
        <s v="CMP-128"/>
        <s v="CMP-117"/>
        <s v="CMP-127"/>
        <s v="CMP-179"/>
        <s v="CMP-152"/>
        <s v="CMP-184"/>
        <s v="CMP-109"/>
        <s v="CMP-101"/>
        <s v="CMP-137"/>
        <s v="CMP-181"/>
        <s v="CMP-168"/>
        <s v="CMP-176"/>
        <s v="CMP-175"/>
        <s v="CMP-104"/>
        <s v="CMP-157"/>
        <s v="CMP-161"/>
        <s v="CMP-144"/>
        <s v="CMP-102"/>
        <s v="CMP-164"/>
        <s v="CMP-110"/>
        <s v="CMP-125"/>
        <s v="CMP-119"/>
        <s v="CMP-105"/>
        <s v="CMP-166"/>
        <s v="CMP-167"/>
        <s v="CMP-170"/>
        <s v="CMP-155"/>
        <s v="CMP-178"/>
        <s v="CMP-107"/>
        <s v="CMP-142"/>
        <s v="CMP-129"/>
        <s v="CMP-133"/>
        <s v="CMP-140"/>
        <s v="CMP-173"/>
        <s v="CMP-148"/>
        <s v="CMP-158"/>
        <s v="CMP-156"/>
        <s v="CMP-108"/>
        <s v="CMP-116"/>
        <s v="CMP-141"/>
        <s v="CMP-169"/>
        <s v="CMP-115"/>
        <s v="CMP-145"/>
      </sharedItems>
    </cacheField>
    <cacheField name="Fecha" numFmtId="0">
      <sharedItems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</sharedItems>
    </cacheField>
    <cacheField name="ID_Anunciante" numFmtId="0">
      <sharedItems>
        <s v="A003"/>
        <s v="A009"/>
        <s v="A002"/>
        <s v="A006"/>
        <s v="A005"/>
        <s v="A004"/>
        <s v="A008"/>
        <s v="A007"/>
        <s v="A010"/>
        <s v="A001"/>
      </sharedItems>
    </cacheField>
    <cacheField name="Estacion" numFmtId="0">
      <sharedItems>
        <s v="Ke Buena"/>
        <s v="W Radio"/>
        <s v="Los 40"/>
        <s v="Radiópolis (Multicadena)"/>
      </sharedItems>
    </cacheField>
    <cacheField name="Formato" numFmtId="0">
      <sharedItems>
        <s v="Patrocinio"/>
        <s v="Entrevista"/>
        <s v="Mención"/>
        <s v="Spot 30s"/>
        <s v="Cápsula"/>
      </sharedItems>
    </cacheField>
    <cacheField name="Inversion_MXN" numFmtId="164">
      <sharedItems containsSemiMixedTypes="0" containsString="0" containsNumber="1" containsInteger="1">
        <n v="78000.0"/>
        <n v="125000.0"/>
        <n v="32000.0"/>
        <n v="31000.0"/>
        <n v="106000.0"/>
        <n v="21000.0"/>
        <n v="29000.0"/>
        <n v="43000.0"/>
        <n v="129000.0"/>
        <n v="109000.0"/>
        <n v="118000.0"/>
        <n v="143000.0"/>
        <n v="34000.0"/>
        <n v="92000.0"/>
        <n v="112000.0"/>
        <n v="36000.0"/>
        <n v="73000.0"/>
        <n v="26000.0"/>
        <n v="119000.0"/>
        <n v="42000.0"/>
        <n v="77000.0"/>
        <n v="17000.0"/>
        <n v="128000.0"/>
        <n v="48000.0"/>
        <n v="28000.0"/>
        <n v="145000.0"/>
        <n v="123000.0"/>
        <n v="130000.0"/>
        <n v="67000.0"/>
        <n v="105000.0"/>
        <n v="150000.0"/>
        <n v="121000.0"/>
        <n v="136000.0"/>
        <n v="39000.0"/>
        <n v="65000.0"/>
        <n v="57000.0"/>
        <n v="124000.0"/>
        <n v="69000.0"/>
        <n v="117000.0"/>
        <n v="101000.0"/>
        <n v="75000.0"/>
        <n v="86000.0"/>
        <n v="90000.0"/>
        <n v="91000.0"/>
        <n v="144000.0"/>
        <n v="52000.0"/>
        <n v="63000.0"/>
        <n v="60000.0"/>
        <n v="40000.0"/>
        <n v="97000.0"/>
        <n v="55000.0"/>
        <n v="102000.0"/>
        <n v="135000.0"/>
        <n v="44000.0"/>
        <n v="49000.0"/>
        <n v="68000.0"/>
        <n v="132000.0"/>
        <n v="66000.0"/>
        <n v="18000.0"/>
        <n v="25000.0"/>
        <n v="85000.0"/>
        <n v="87000.0"/>
        <n v="50000.0"/>
        <n v="139000.0"/>
        <n v="142000.0"/>
      </sharedItems>
    </cacheField>
    <cacheField name="Impactos_Estimados" numFmtId="3">
      <sharedItems containsSemiMixedTypes="0" containsString="0" containsNumber="1" containsInteger="1">
        <n v="158621.0"/>
        <n v="204993.0"/>
        <n v="105946.0"/>
        <n v="59580.0"/>
        <n v="203536.0"/>
        <n v="55072.0"/>
        <n v="57470.0"/>
        <n v="89741.0"/>
        <n v="229667.0"/>
        <n v="225627.0"/>
        <n v="205293.0"/>
        <n v="432421.0"/>
        <n v="81132.0"/>
        <n v="212717.0"/>
        <n v="189664.0"/>
        <n v="74432.0"/>
        <n v="195412.0"/>
        <n v="51731.0"/>
        <n v="410273.0"/>
        <n v="113111.0"/>
        <n v="140663.0"/>
        <n v="41081.0"/>
        <n v="333230.0"/>
        <n v="136482.0"/>
        <n v="79708.0"/>
        <n v="251037.0"/>
        <n v="56784.0"/>
        <n v="355861.0"/>
        <n v="360619.0"/>
        <n v="226461.0"/>
        <n v="190243.0"/>
        <n v="115263.0"/>
        <n v="301479.0"/>
        <n v="48629.0"/>
        <n v="201496.0"/>
        <n v="227346.0"/>
        <n v="395945.0"/>
        <n v="270095.0"/>
        <n v="109900.0"/>
        <n v="240732.0"/>
        <n v="117369.0"/>
        <n v="115716.0"/>
        <n v="408660.0"/>
        <n v="110591.0"/>
        <n v="305192.0"/>
        <n v="173312.0"/>
        <n v="232592.0"/>
        <n v="73385.0"/>
        <n v="149874.0"/>
        <n v="313219.0"/>
        <n v="213419.0"/>
        <n v="277668.0"/>
        <n v="234794.0"/>
        <n v="228796.0"/>
        <n v="345530.0"/>
        <n v="356697.0"/>
        <n v="122697.0"/>
        <n v="131885.0"/>
        <n v="192318.0"/>
        <n v="195769.0"/>
        <n v="90410.0"/>
        <n v="240289.0"/>
        <n v="169628.0"/>
        <n v="209685.0"/>
        <n v="262557.0"/>
        <n v="142046.0"/>
        <n v="143179.0"/>
        <n v="99417.0"/>
        <n v="160464.0"/>
        <n v="339564.0"/>
        <n v="168482.0"/>
        <n v="193109.0"/>
        <n v="154271.0"/>
        <n v="61883.0"/>
        <n v="75856.0"/>
        <n v="68469.0"/>
        <n v="134994.0"/>
        <n v="235740.0"/>
        <n v="284292.0"/>
        <n v="99662.0"/>
        <n v="342317.0"/>
        <n v="334507.0"/>
        <n v="325359.0"/>
        <n v="46408.0"/>
      </sharedItems>
    </cacheField>
    <cacheField name="MARCA" numFmtId="0">
      <sharedItems>
        <s v="Spotify"/>
        <s v="Samsung"/>
        <s v="Nissan"/>
        <s v="Netflix"/>
        <s v="Bimbo"/>
        <s v="Telcel"/>
        <s v="Cinépolis"/>
        <s v="Banorte"/>
        <s v="Uber"/>
        <s v="Coca-Cola"/>
      </sharedItems>
    </cacheField>
    <cacheField name="SECTOR" numFmtId="0">
      <sharedItems>
        <s v="Entretenimiento"/>
        <s v="Electrónica"/>
        <s v="Automotriz"/>
        <s v="Alimentos"/>
        <s v="Telecomunicaciones"/>
        <s v="Finanzas"/>
        <s v="Tecnología"/>
        <s v="Bebidas"/>
      </sharedItems>
    </cacheField>
    <cacheField name="EJECUTIVO" numFmtId="0">
      <sharedItems>
        <s v="Roberto M."/>
        <s v="Carlos V."/>
        <s v="Laura T."/>
      </sharedItems>
    </cacheField>
    <cacheField name="COMISION" numFmtId="165">
      <sharedItems containsSemiMixedTypes="0" containsString="0" containsNumber="1" containsInteger="1">
        <n v="9360.0"/>
        <n v="15000.0"/>
        <n v="3840.0"/>
        <n v="3720.0"/>
        <n v="12720.0"/>
        <n v="2520.0"/>
        <n v="3480.0"/>
        <n v="5160.0"/>
        <n v="15480.0"/>
        <n v="13080.0"/>
        <n v="14160.0"/>
        <n v="17160.0"/>
        <n v="4080.0"/>
        <n v="11040.0"/>
        <n v="13440.0"/>
        <n v="4320.0"/>
        <n v="8760.0"/>
        <n v="3120.0"/>
        <n v="14280.0"/>
        <n v="5040.0"/>
        <n v="9240.0"/>
        <n v="2040.0"/>
        <n v="15360.0"/>
        <n v="5760.0"/>
        <n v="3360.0"/>
        <n v="17400.0"/>
        <n v="14760.0"/>
        <n v="15600.0"/>
        <n v="8040.0"/>
        <n v="12600.0"/>
        <n v="18000.0"/>
        <n v="14520.0"/>
        <n v="16320.0"/>
        <n v="4680.0"/>
        <n v="7800.0"/>
        <n v="6840.0"/>
        <n v="14880.0"/>
        <n v="8280.0"/>
        <n v="14040.0"/>
        <n v="12120.0"/>
        <n v="9000.0"/>
        <n v="10320.0"/>
        <n v="10800.0"/>
        <n v="10920.0"/>
        <n v="17280.0"/>
        <n v="6240.0"/>
        <n v="7560.0"/>
        <n v="7200.0"/>
        <n v="4800.0"/>
        <n v="11640.0"/>
        <n v="6600.0"/>
        <n v="12240.0"/>
        <n v="16200.0"/>
        <n v="5280.0"/>
        <n v="5880.0"/>
        <n v="8160.0"/>
        <n v="15840.0"/>
        <n v="7920.0"/>
        <n v="2160.0"/>
        <n v="3000.0"/>
        <n v="10200.0"/>
        <n v="10440.0"/>
        <n v="6000.0"/>
        <n v="16680.0"/>
        <n v="17040.0"/>
      </sharedItems>
    </cacheField>
    <cacheField name="CLASIFICACION" numFmtId="0">
      <sharedItems>
        <s v="ESTANDAR"/>
        <s v="PREMIU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F11" firstHeaderRow="0" firstDataRow="1" firstDataCol="1"/>
  <pivotFields>
    <pivotField name="ID_Campañ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ID_Anunci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stacion" axis="axisCol" compact="0" outline="0" multipleItemSelectionAllowed="1" showAll="0" sortType="ascending">
      <items>
        <item x="0"/>
        <item x="2"/>
        <item x="3"/>
        <item x="1"/>
        <item t="default"/>
      </items>
    </pivotField>
    <pivotField name="Forma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version_MX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Impactos_Estimado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TOR" axis="axisRow" compact="0" outline="0" multipleItemSelectionAllowed="1" showAll="0" sortType="ascending">
      <items>
        <item x="3"/>
        <item x="2"/>
        <item x="7"/>
        <item x="1"/>
        <item x="0"/>
        <item x="5"/>
        <item x="6"/>
        <item x="4"/>
        <item t="default"/>
      </items>
    </pivotField>
    <pivotField name="EJECUTIVO" compact="0" outline="0" multipleItemSelectionAllowed="1" showAll="0">
      <items>
        <item x="0"/>
        <item x="1"/>
        <item x="2"/>
        <item t="default"/>
      </items>
    </pivotField>
    <pivotField name="COMISIO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CLASIFICACION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3"/>
  </colFields>
  <dataFields>
    <dataField name="SUM of Inversion_MXN" fld="5" baseField="0"/>
  </dataFields>
</pivotTableDefinition>
</file>

<file path=xl/tables/table1.xml><?xml version="1.0" encoding="utf-8"?>
<table xmlns="http://schemas.openxmlformats.org/spreadsheetml/2006/main" ref="A1:D11" displayName="DimAnunciantes" name="DimAnunciantes" id="1">
  <tableColumns count="4">
    <tableColumn name="ID_Anunciante" id="1"/>
    <tableColumn name="Marca" id="2"/>
    <tableColumn name="Sector" id="3"/>
    <tableColumn name="Ejecutivo_Asignado" id="4"/>
  </tableColumns>
  <tableStyleInfo name="DimAnunciantes-style" showColumnStripes="0" showFirstColumn="1" showLastColumn="1" showRowStripes="1"/>
</table>
</file>

<file path=xl/tables/table2.xml><?xml version="1.0" encoding="utf-8"?>
<table xmlns="http://schemas.openxmlformats.org/spreadsheetml/2006/main" ref="A1:L85" displayName="FactCampanas" name="FactCampanas" id="2">
  <tableColumns count="12">
    <tableColumn name="ID_Campaña" id="1"/>
    <tableColumn name="Fecha" id="2"/>
    <tableColumn name="ID_Anunciante" id="3"/>
    <tableColumn name="Estacion" id="4"/>
    <tableColumn name="Formato" id="5"/>
    <tableColumn name="Inversion_MXN" id="6"/>
    <tableColumn name="Impactos_Estimados" id="7"/>
    <tableColumn name="MARCA" id="8"/>
    <tableColumn name="SECTOR" id="9"/>
    <tableColumn name="EJECUTIVO" id="10"/>
    <tableColumn name="COMISION" id="11"/>
    <tableColumn name="CLASIFICACION" id="12"/>
  </tableColumns>
  <tableStyleInfo name="FactCampañ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1" t="s">
        <v>0</v>
      </c>
    </row>
    <row r="2">
      <c r="J2" s="2">
        <v>0.12</v>
      </c>
    </row>
    <row r="3">
      <c r="A3" s="3" t="s">
        <v>1</v>
      </c>
    </row>
    <row r="4">
      <c r="A4" s="3"/>
    </row>
    <row r="5">
      <c r="A5" s="3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9">
      <c r="A9" s="3" t="s">
        <v>6</v>
      </c>
    </row>
    <row r="10">
      <c r="A10" s="3" t="s">
        <v>7</v>
      </c>
    </row>
    <row r="11">
      <c r="A11" s="3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4" t="s">
        <v>9</v>
      </c>
      <c r="B1" s="4" t="s">
        <v>11</v>
      </c>
      <c r="C1" s="4" t="s">
        <v>13</v>
      </c>
      <c r="D1" s="4" t="s">
        <v>14</v>
      </c>
    </row>
    <row r="2">
      <c r="A2" s="5" t="s">
        <v>16</v>
      </c>
      <c r="B2" s="5" t="s">
        <v>18</v>
      </c>
      <c r="C2" s="5" t="s">
        <v>20</v>
      </c>
      <c r="D2" s="5" t="s">
        <v>21</v>
      </c>
    </row>
    <row r="3">
      <c r="A3" s="5" t="s">
        <v>23</v>
      </c>
      <c r="B3" s="5" t="s">
        <v>25</v>
      </c>
      <c r="C3" s="5" t="s">
        <v>26</v>
      </c>
      <c r="D3" s="5" t="s">
        <v>27</v>
      </c>
    </row>
    <row r="4">
      <c r="A4" s="5" t="s">
        <v>29</v>
      </c>
      <c r="B4" s="5" t="s">
        <v>31</v>
      </c>
      <c r="C4" s="5" t="s">
        <v>33</v>
      </c>
      <c r="D4" s="5" t="s">
        <v>21</v>
      </c>
    </row>
    <row r="5">
      <c r="A5" s="5" t="s">
        <v>35</v>
      </c>
      <c r="B5" s="5" t="s">
        <v>37</v>
      </c>
      <c r="C5" s="5" t="s">
        <v>39</v>
      </c>
      <c r="D5" s="5" t="s">
        <v>40</v>
      </c>
    </row>
    <row r="6">
      <c r="A6" s="5" t="s">
        <v>42</v>
      </c>
      <c r="B6" s="5" t="s">
        <v>43</v>
      </c>
      <c r="C6" s="5" t="s">
        <v>45</v>
      </c>
      <c r="D6" s="5" t="s">
        <v>27</v>
      </c>
    </row>
    <row r="7">
      <c r="A7" s="5" t="s">
        <v>47</v>
      </c>
      <c r="B7" s="5" t="s">
        <v>48</v>
      </c>
      <c r="C7" s="5" t="s">
        <v>33</v>
      </c>
      <c r="D7" s="5" t="s">
        <v>40</v>
      </c>
    </row>
    <row r="8">
      <c r="A8" s="5" t="s">
        <v>49</v>
      </c>
      <c r="B8" s="5" t="s">
        <v>50</v>
      </c>
      <c r="C8" s="5" t="s">
        <v>51</v>
      </c>
      <c r="D8" s="5" t="s">
        <v>21</v>
      </c>
    </row>
    <row r="9">
      <c r="A9" s="5" t="s">
        <v>52</v>
      </c>
      <c r="B9" s="5" t="s">
        <v>53</v>
      </c>
      <c r="C9" s="5" t="s">
        <v>33</v>
      </c>
      <c r="D9" s="5" t="s">
        <v>27</v>
      </c>
    </row>
    <row r="10">
      <c r="A10" s="5" t="s">
        <v>54</v>
      </c>
      <c r="B10" s="5" t="s">
        <v>55</v>
      </c>
      <c r="C10" s="5" t="s">
        <v>56</v>
      </c>
      <c r="D10" s="5" t="s">
        <v>40</v>
      </c>
    </row>
    <row r="11">
      <c r="A11" s="5" t="s">
        <v>57</v>
      </c>
      <c r="B11" s="5" t="s">
        <v>58</v>
      </c>
      <c r="C11" s="5" t="s">
        <v>59</v>
      </c>
      <c r="D11" s="5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757B342-6D94-48D8-97AA-AE197315F1DB}" filter="1" showAutoFilter="1">
      <autoFilter ref="$A$1:$D$1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20.0"/>
    <col customWidth="1" min="8" max="8" width="11.86"/>
    <col customWidth="1" min="9" max="9" width="19.0"/>
    <col customWidth="1" min="10" max="10" width="14.43"/>
    <col customWidth="1" min="11" max="11" width="14.86"/>
    <col customWidth="1" min="12" max="12" width="12.14"/>
    <col customWidth="1" min="13" max="16" width="8.71"/>
    <col customWidth="1" min="17" max="17" width="14.29"/>
    <col customWidth="1" min="18" max="26" width="8.71"/>
  </cols>
  <sheetData>
    <row r="1">
      <c r="A1" s="4" t="s">
        <v>10</v>
      </c>
      <c r="B1" s="4" t="s">
        <v>12</v>
      </c>
      <c r="C1" s="4" t="s">
        <v>9</v>
      </c>
      <c r="D1" s="4" t="s">
        <v>15</v>
      </c>
      <c r="E1" s="4" t="s">
        <v>17</v>
      </c>
      <c r="F1" s="4" t="s">
        <v>19</v>
      </c>
      <c r="G1" s="4" t="s">
        <v>22</v>
      </c>
      <c r="H1" s="6" t="s">
        <v>24</v>
      </c>
      <c r="I1" s="6" t="s">
        <v>28</v>
      </c>
      <c r="J1" s="6" t="s">
        <v>30</v>
      </c>
      <c r="K1" s="6" t="s">
        <v>32</v>
      </c>
      <c r="L1" s="6" t="s">
        <v>34</v>
      </c>
      <c r="Q1" s="7" t="s">
        <v>36</v>
      </c>
    </row>
    <row r="2">
      <c r="A2" s="5" t="s">
        <v>38</v>
      </c>
      <c r="B2" s="5" t="s">
        <v>41</v>
      </c>
      <c r="C2" s="5" t="s">
        <v>29</v>
      </c>
      <c r="D2" s="5" t="s">
        <v>44</v>
      </c>
      <c r="E2" s="5" t="s">
        <v>46</v>
      </c>
      <c r="F2" s="8">
        <v>78000.0</v>
      </c>
      <c r="G2" s="9">
        <v>158621.0</v>
      </c>
      <c r="H2" s="10" t="str">
        <f t="array" ref="H2:J2">XLOOKUP(C2,DimAnunciantes!$A$2:$A$11,DimAnunciantes!$B$2:D$11)</f>
        <v>Spotify</v>
      </c>
      <c r="I2" s="10" t="s">
        <v>33</v>
      </c>
      <c r="J2" s="10" t="s">
        <v>21</v>
      </c>
      <c r="K2" s="11">
        <f>F2*'Instrucciones y Retos'!$J$2</f>
        <v>9360</v>
      </c>
      <c r="L2" s="10" t="str">
        <f t="shared" ref="L2:L85" si="1">IF(F2&gt;80000,"PREMIUM","ESTANDAR")</f>
        <v>ESTANDAR</v>
      </c>
      <c r="Q2" s="12">
        <f>SUMIF(D2:D85,"Los 40",F2:F85)</f>
        <v>1836000</v>
      </c>
    </row>
    <row r="3">
      <c r="A3" s="5" t="s">
        <v>60</v>
      </c>
      <c r="B3" s="5" t="s">
        <v>41</v>
      </c>
      <c r="C3" s="5" t="s">
        <v>54</v>
      </c>
      <c r="D3" s="5" t="s">
        <v>61</v>
      </c>
      <c r="E3" s="5" t="s">
        <v>62</v>
      </c>
      <c r="F3" s="8">
        <v>125000.0</v>
      </c>
      <c r="G3" s="9">
        <v>204993.0</v>
      </c>
      <c r="H3" s="10" t="str">
        <f t="array" ref="H3:J3">XLOOKUP(C3,DimAnunciantes!$A$2:$A$11,DimAnunciantes!$B$2:D$11)</f>
        <v>Samsung</v>
      </c>
      <c r="I3" s="10" t="s">
        <v>56</v>
      </c>
      <c r="J3" s="10" t="s">
        <v>40</v>
      </c>
      <c r="K3" s="11">
        <f>F3*'Instrucciones y Retos'!$J$2</f>
        <v>15000</v>
      </c>
      <c r="L3" s="10" t="str">
        <f t="shared" si="1"/>
        <v>PREMIUM</v>
      </c>
    </row>
    <row r="4">
      <c r="A4" s="5" t="s">
        <v>63</v>
      </c>
      <c r="B4" s="5" t="s">
        <v>41</v>
      </c>
      <c r="C4" s="5" t="s">
        <v>23</v>
      </c>
      <c r="D4" s="5" t="s">
        <v>36</v>
      </c>
      <c r="E4" s="5" t="s">
        <v>64</v>
      </c>
      <c r="F4" s="8">
        <v>32000.0</v>
      </c>
      <c r="G4" s="9">
        <v>105946.0</v>
      </c>
      <c r="H4" s="10" t="str">
        <f t="array" ref="H4:J4">XLOOKUP(C4,DimAnunciantes!$A$2:$A$11,DimAnunciantes!$B$2:D$11)</f>
        <v>Nissan</v>
      </c>
      <c r="I4" s="10" t="s">
        <v>26</v>
      </c>
      <c r="J4" s="10" t="s">
        <v>27</v>
      </c>
      <c r="K4" s="11">
        <f>F4*'Instrucciones y Retos'!$J$2</f>
        <v>3840</v>
      </c>
      <c r="L4" s="10" t="str">
        <f t="shared" si="1"/>
        <v>ESTANDAR</v>
      </c>
    </row>
    <row r="5">
      <c r="A5" s="5" t="s">
        <v>65</v>
      </c>
      <c r="B5" s="5" t="s">
        <v>66</v>
      </c>
      <c r="C5" s="5" t="s">
        <v>47</v>
      </c>
      <c r="D5" s="5" t="s">
        <v>67</v>
      </c>
      <c r="E5" s="5" t="s">
        <v>62</v>
      </c>
      <c r="F5" s="8">
        <v>31000.0</v>
      </c>
      <c r="G5" s="9">
        <v>59580.0</v>
      </c>
      <c r="H5" s="10" t="str">
        <f t="array" ref="H5:J5">XLOOKUP(C5,DimAnunciantes!$A$2:$A$11,DimAnunciantes!$B$2:D$11)</f>
        <v>Netflix</v>
      </c>
      <c r="I5" s="10" t="s">
        <v>33</v>
      </c>
      <c r="J5" s="10" t="s">
        <v>40</v>
      </c>
      <c r="K5" s="11">
        <f>F5*'Instrucciones y Retos'!$J$2</f>
        <v>3720</v>
      </c>
      <c r="L5" s="10" t="str">
        <f t="shared" si="1"/>
        <v>ESTANDAR</v>
      </c>
    </row>
    <row r="6">
      <c r="A6" s="5" t="s">
        <v>68</v>
      </c>
      <c r="B6" s="5" t="s">
        <v>66</v>
      </c>
      <c r="C6" s="5" t="s">
        <v>42</v>
      </c>
      <c r="D6" s="5" t="s">
        <v>44</v>
      </c>
      <c r="E6" s="5" t="s">
        <v>69</v>
      </c>
      <c r="F6" s="8">
        <v>106000.0</v>
      </c>
      <c r="G6" s="9">
        <v>203536.0</v>
      </c>
      <c r="H6" s="10" t="str">
        <f t="array" ref="H6:J6">XLOOKUP(C6,DimAnunciantes!$A$2:$A$11,DimAnunciantes!$B$2:D$11)</f>
        <v>Bimbo</v>
      </c>
      <c r="I6" s="10" t="s">
        <v>45</v>
      </c>
      <c r="J6" s="10" t="s">
        <v>27</v>
      </c>
      <c r="K6" s="11">
        <f>F6*'Instrucciones y Retos'!$J$2</f>
        <v>12720</v>
      </c>
      <c r="L6" s="10" t="str">
        <f t="shared" si="1"/>
        <v>PREMIUM</v>
      </c>
    </row>
    <row r="7">
      <c r="A7" s="5" t="s">
        <v>70</v>
      </c>
      <c r="B7" s="5" t="s">
        <v>71</v>
      </c>
      <c r="C7" s="5" t="s">
        <v>35</v>
      </c>
      <c r="D7" s="5" t="s">
        <v>61</v>
      </c>
      <c r="E7" s="5" t="s">
        <v>72</v>
      </c>
      <c r="F7" s="8">
        <v>21000.0</v>
      </c>
      <c r="G7" s="9">
        <v>55072.0</v>
      </c>
      <c r="H7" s="10" t="str">
        <f t="array" ref="H7:J7">XLOOKUP(C7,DimAnunciantes!$A$2:$A$11,DimAnunciantes!$B$2:D$11)</f>
        <v>Telcel</v>
      </c>
      <c r="I7" s="10" t="s">
        <v>39</v>
      </c>
      <c r="J7" s="10" t="s">
        <v>40</v>
      </c>
      <c r="K7" s="11">
        <f>F7*'Instrucciones y Retos'!$J$2</f>
        <v>2520</v>
      </c>
      <c r="L7" s="10" t="str">
        <f t="shared" si="1"/>
        <v>ESTANDAR</v>
      </c>
    </row>
    <row r="8">
      <c r="A8" s="5" t="s">
        <v>74</v>
      </c>
      <c r="B8" s="5" t="s">
        <v>75</v>
      </c>
      <c r="C8" s="5" t="s">
        <v>47</v>
      </c>
      <c r="D8" s="5" t="s">
        <v>44</v>
      </c>
      <c r="E8" s="5" t="s">
        <v>64</v>
      </c>
      <c r="F8" s="8">
        <v>29000.0</v>
      </c>
      <c r="G8" s="9">
        <v>57470.0</v>
      </c>
      <c r="H8" s="10" t="str">
        <f t="array" ref="H8:J8">XLOOKUP(C8,DimAnunciantes!$A$2:$A$11,DimAnunciantes!$B$2:D$11)</f>
        <v>Netflix</v>
      </c>
      <c r="I8" s="10" t="s">
        <v>33</v>
      </c>
      <c r="J8" s="10" t="s">
        <v>40</v>
      </c>
      <c r="K8" s="11">
        <f>F8*'Instrucciones y Retos'!$J$2</f>
        <v>3480</v>
      </c>
      <c r="L8" s="10" t="str">
        <f t="shared" si="1"/>
        <v>ESTANDAR</v>
      </c>
    </row>
    <row r="9">
      <c r="A9" s="5" t="s">
        <v>77</v>
      </c>
      <c r="B9" s="5" t="s">
        <v>75</v>
      </c>
      <c r="C9" s="5" t="s">
        <v>54</v>
      </c>
      <c r="D9" s="5" t="s">
        <v>44</v>
      </c>
      <c r="E9" s="5" t="s">
        <v>62</v>
      </c>
      <c r="F9" s="8">
        <v>43000.0</v>
      </c>
      <c r="G9" s="9">
        <v>89741.0</v>
      </c>
      <c r="H9" s="10" t="str">
        <f t="array" ref="H9:J9">XLOOKUP(C9,DimAnunciantes!$A$2:$A$11,DimAnunciantes!$B$2:D$11)</f>
        <v>Samsung</v>
      </c>
      <c r="I9" s="10" t="s">
        <v>56</v>
      </c>
      <c r="J9" s="10" t="s">
        <v>40</v>
      </c>
      <c r="K9" s="11">
        <f>F9*'Instrucciones y Retos'!$J$2</f>
        <v>5160</v>
      </c>
      <c r="L9" s="10" t="str">
        <f t="shared" si="1"/>
        <v>ESTANDAR</v>
      </c>
    </row>
    <row r="10">
      <c r="A10" s="5" t="s">
        <v>78</v>
      </c>
      <c r="B10" s="5" t="s">
        <v>75</v>
      </c>
      <c r="C10" s="5" t="s">
        <v>35</v>
      </c>
      <c r="D10" s="5" t="s">
        <v>61</v>
      </c>
      <c r="E10" s="5" t="s">
        <v>64</v>
      </c>
      <c r="F10" s="8">
        <v>129000.0</v>
      </c>
      <c r="G10" s="9">
        <v>229667.0</v>
      </c>
      <c r="H10" s="10" t="str">
        <f t="array" ref="H10:J10">XLOOKUP(C10,DimAnunciantes!$A$2:$A$11,DimAnunciantes!$B$2:D$11)</f>
        <v>Telcel</v>
      </c>
      <c r="I10" s="10" t="s">
        <v>39</v>
      </c>
      <c r="J10" s="10" t="s">
        <v>40</v>
      </c>
      <c r="K10" s="11">
        <f>F10*'Instrucciones y Retos'!$J$2</f>
        <v>15480</v>
      </c>
      <c r="L10" s="10" t="str">
        <f t="shared" si="1"/>
        <v>PREMIUM</v>
      </c>
    </row>
    <row r="11">
      <c r="A11" s="5" t="s">
        <v>79</v>
      </c>
      <c r="B11" s="5" t="s">
        <v>80</v>
      </c>
      <c r="C11" s="5" t="s">
        <v>47</v>
      </c>
      <c r="D11" s="5" t="s">
        <v>36</v>
      </c>
      <c r="E11" s="5" t="s">
        <v>64</v>
      </c>
      <c r="F11" s="8">
        <v>109000.0</v>
      </c>
      <c r="G11" s="9">
        <v>225627.0</v>
      </c>
      <c r="H11" s="10" t="str">
        <f t="array" ref="H11:J11">XLOOKUP(C11,DimAnunciantes!$A$2:$A$11,DimAnunciantes!$B$2:D$11)</f>
        <v>Netflix</v>
      </c>
      <c r="I11" s="10" t="s">
        <v>33</v>
      </c>
      <c r="J11" s="10" t="s">
        <v>40</v>
      </c>
      <c r="K11" s="11">
        <f>F11*'Instrucciones y Retos'!$J$2</f>
        <v>13080</v>
      </c>
      <c r="L11" s="10" t="str">
        <f t="shared" si="1"/>
        <v>PREMIUM</v>
      </c>
    </row>
    <row r="12">
      <c r="A12" s="5" t="s">
        <v>81</v>
      </c>
      <c r="B12" s="5" t="s">
        <v>82</v>
      </c>
      <c r="C12" s="5" t="s">
        <v>23</v>
      </c>
      <c r="D12" s="5" t="s">
        <v>36</v>
      </c>
      <c r="E12" s="5" t="s">
        <v>64</v>
      </c>
      <c r="F12" s="8">
        <v>118000.0</v>
      </c>
      <c r="G12" s="9">
        <v>205293.0</v>
      </c>
      <c r="H12" s="10" t="str">
        <f t="array" ref="H12:J12">XLOOKUP(C12,DimAnunciantes!$A$2:$A$11,DimAnunciantes!$B$2:D$11)</f>
        <v>Nissan</v>
      </c>
      <c r="I12" s="10" t="s">
        <v>26</v>
      </c>
      <c r="J12" s="10" t="s">
        <v>27</v>
      </c>
      <c r="K12" s="11">
        <f>F12*'Instrucciones y Retos'!$J$2</f>
        <v>14160</v>
      </c>
      <c r="L12" s="10" t="str">
        <f t="shared" si="1"/>
        <v>PREMIUM</v>
      </c>
    </row>
    <row r="13">
      <c r="A13" s="5" t="s">
        <v>83</v>
      </c>
      <c r="B13" s="5" t="s">
        <v>82</v>
      </c>
      <c r="C13" s="5" t="s">
        <v>52</v>
      </c>
      <c r="D13" s="5" t="s">
        <v>36</v>
      </c>
      <c r="E13" s="5" t="s">
        <v>62</v>
      </c>
      <c r="F13" s="8">
        <v>143000.0</v>
      </c>
      <c r="G13" s="9">
        <v>432421.0</v>
      </c>
      <c r="H13" s="10" t="str">
        <f t="array" ref="H13:J13">XLOOKUP(C13,DimAnunciantes!$A$2:$A$11,DimAnunciantes!$B$2:D$11)</f>
        <v>Cinépolis</v>
      </c>
      <c r="I13" s="10" t="s">
        <v>33</v>
      </c>
      <c r="J13" s="10" t="s">
        <v>27</v>
      </c>
      <c r="K13" s="11">
        <f>F13*'Instrucciones y Retos'!$J$2</f>
        <v>17160</v>
      </c>
      <c r="L13" s="10" t="str">
        <f t="shared" si="1"/>
        <v>PREMIUM</v>
      </c>
    </row>
    <row r="14">
      <c r="A14" s="5" t="s">
        <v>84</v>
      </c>
      <c r="B14" s="5" t="s">
        <v>82</v>
      </c>
      <c r="C14" s="5" t="s">
        <v>42</v>
      </c>
      <c r="D14" s="5" t="s">
        <v>67</v>
      </c>
      <c r="E14" s="5" t="s">
        <v>64</v>
      </c>
      <c r="F14" s="8">
        <v>34000.0</v>
      </c>
      <c r="G14" s="9">
        <v>81132.0</v>
      </c>
      <c r="H14" s="10" t="str">
        <f t="array" ref="H14:J14">XLOOKUP(C14,DimAnunciantes!$A$2:$A$11,DimAnunciantes!$B$2:D$11)</f>
        <v>Bimbo</v>
      </c>
      <c r="I14" s="10" t="s">
        <v>45</v>
      </c>
      <c r="J14" s="10" t="s">
        <v>27</v>
      </c>
      <c r="K14" s="11">
        <f>F14*'Instrucciones y Retos'!$J$2</f>
        <v>4080</v>
      </c>
      <c r="L14" s="10" t="str">
        <f t="shared" si="1"/>
        <v>ESTANDAR</v>
      </c>
    </row>
    <row r="15">
      <c r="A15" s="5" t="s">
        <v>85</v>
      </c>
      <c r="B15" s="5" t="s">
        <v>86</v>
      </c>
      <c r="C15" s="5" t="s">
        <v>49</v>
      </c>
      <c r="D15" s="5" t="s">
        <v>67</v>
      </c>
      <c r="E15" s="5" t="s">
        <v>64</v>
      </c>
      <c r="F15" s="8">
        <v>92000.0</v>
      </c>
      <c r="G15" s="9">
        <v>212717.0</v>
      </c>
      <c r="H15" s="10" t="str">
        <f t="array" ref="H15:J15">XLOOKUP(C15,DimAnunciantes!$A$2:$A$11,DimAnunciantes!$B$2:D$11)</f>
        <v>Banorte</v>
      </c>
      <c r="I15" s="10" t="s">
        <v>51</v>
      </c>
      <c r="J15" s="10" t="s">
        <v>21</v>
      </c>
      <c r="K15" s="11">
        <f>F15*'Instrucciones y Retos'!$J$2</f>
        <v>11040</v>
      </c>
      <c r="L15" s="10" t="str">
        <f t="shared" si="1"/>
        <v>PREMIUM</v>
      </c>
    </row>
    <row r="16">
      <c r="A16" s="5" t="s">
        <v>87</v>
      </c>
      <c r="B16" s="5" t="s">
        <v>86</v>
      </c>
      <c r="C16" s="5" t="s">
        <v>47</v>
      </c>
      <c r="D16" s="5" t="s">
        <v>36</v>
      </c>
      <c r="E16" s="5" t="s">
        <v>69</v>
      </c>
      <c r="F16" s="8">
        <v>112000.0</v>
      </c>
      <c r="G16" s="9">
        <v>189664.0</v>
      </c>
      <c r="H16" s="10" t="str">
        <f t="array" ref="H16:J16">XLOOKUP(C16,DimAnunciantes!$A$2:$A$11,DimAnunciantes!$B$2:D$11)</f>
        <v>Netflix</v>
      </c>
      <c r="I16" s="10" t="s">
        <v>33</v>
      </c>
      <c r="J16" s="10" t="s">
        <v>40</v>
      </c>
      <c r="K16" s="11">
        <f>F16*'Instrucciones y Retos'!$J$2</f>
        <v>13440</v>
      </c>
      <c r="L16" s="10" t="str">
        <f t="shared" si="1"/>
        <v>PREMIUM</v>
      </c>
    </row>
    <row r="17">
      <c r="A17" s="5" t="s">
        <v>88</v>
      </c>
      <c r="B17" s="5" t="s">
        <v>86</v>
      </c>
      <c r="C17" s="5" t="s">
        <v>54</v>
      </c>
      <c r="D17" s="5" t="s">
        <v>67</v>
      </c>
      <c r="E17" s="5" t="s">
        <v>64</v>
      </c>
      <c r="F17" s="8">
        <v>36000.0</v>
      </c>
      <c r="G17" s="9">
        <v>74432.0</v>
      </c>
      <c r="H17" s="10" t="str">
        <f t="array" ref="H17:J17">XLOOKUP(C17,DimAnunciantes!$A$2:$A$11,DimAnunciantes!$B$2:D$11)</f>
        <v>Samsung</v>
      </c>
      <c r="I17" s="10" t="s">
        <v>56</v>
      </c>
      <c r="J17" s="10" t="s">
        <v>40</v>
      </c>
      <c r="K17" s="11">
        <f>F17*'Instrucciones y Retos'!$J$2</f>
        <v>4320</v>
      </c>
      <c r="L17" s="10" t="str">
        <f t="shared" si="1"/>
        <v>ESTANDAR</v>
      </c>
    </row>
    <row r="18">
      <c r="A18" s="5" t="s">
        <v>89</v>
      </c>
      <c r="B18" s="5" t="s">
        <v>90</v>
      </c>
      <c r="C18" s="5" t="s">
        <v>23</v>
      </c>
      <c r="D18" s="5" t="s">
        <v>44</v>
      </c>
      <c r="E18" s="5" t="s">
        <v>69</v>
      </c>
      <c r="F18" s="8">
        <v>73000.0</v>
      </c>
      <c r="G18" s="9">
        <v>195412.0</v>
      </c>
      <c r="H18" s="10" t="str">
        <f t="array" ref="H18:J18">XLOOKUP(C18,DimAnunciantes!$A$2:$A$11,DimAnunciantes!$B$2:D$11)</f>
        <v>Nissan</v>
      </c>
      <c r="I18" s="10" t="s">
        <v>26</v>
      </c>
      <c r="J18" s="10" t="s">
        <v>27</v>
      </c>
      <c r="K18" s="11">
        <f>F18*'Instrucciones y Retos'!$J$2</f>
        <v>8760</v>
      </c>
      <c r="L18" s="10" t="str">
        <f t="shared" si="1"/>
        <v>ESTANDAR</v>
      </c>
    </row>
    <row r="19">
      <c r="A19" s="5" t="s">
        <v>91</v>
      </c>
      <c r="B19" s="5" t="s">
        <v>90</v>
      </c>
      <c r="C19" s="5" t="s">
        <v>35</v>
      </c>
      <c r="D19" s="5" t="s">
        <v>61</v>
      </c>
      <c r="E19" s="5" t="s">
        <v>69</v>
      </c>
      <c r="F19" s="8">
        <v>26000.0</v>
      </c>
      <c r="G19" s="9">
        <v>51731.0</v>
      </c>
      <c r="H19" s="10" t="str">
        <f t="array" ref="H19:J19">XLOOKUP(C19,DimAnunciantes!$A$2:$A$11,DimAnunciantes!$B$2:D$11)</f>
        <v>Telcel</v>
      </c>
      <c r="I19" s="10" t="s">
        <v>39</v>
      </c>
      <c r="J19" s="10" t="s">
        <v>40</v>
      </c>
      <c r="K19" s="11">
        <f>F19*'Instrucciones y Retos'!$J$2</f>
        <v>3120</v>
      </c>
      <c r="L19" s="10" t="str">
        <f t="shared" si="1"/>
        <v>ESTANDAR</v>
      </c>
    </row>
    <row r="20">
      <c r="A20" s="5" t="s">
        <v>92</v>
      </c>
      <c r="B20" s="5" t="s">
        <v>90</v>
      </c>
      <c r="C20" s="5" t="s">
        <v>23</v>
      </c>
      <c r="D20" s="5" t="s">
        <v>44</v>
      </c>
      <c r="E20" s="5" t="s">
        <v>72</v>
      </c>
      <c r="F20" s="8">
        <v>119000.0</v>
      </c>
      <c r="G20" s="9">
        <v>410273.0</v>
      </c>
      <c r="H20" s="10" t="str">
        <f t="array" ref="H20:J20">XLOOKUP(C20,DimAnunciantes!$A$2:$A$11,DimAnunciantes!$B$2:D$11)</f>
        <v>Nissan</v>
      </c>
      <c r="I20" s="10" t="s">
        <v>26</v>
      </c>
      <c r="J20" s="10" t="s">
        <v>27</v>
      </c>
      <c r="K20" s="11">
        <f>F20*'Instrucciones y Retos'!$J$2</f>
        <v>14280</v>
      </c>
      <c r="L20" s="10" t="str">
        <f t="shared" si="1"/>
        <v>PREMIUM</v>
      </c>
    </row>
    <row r="21" ht="15.75" customHeight="1">
      <c r="A21" s="5" t="s">
        <v>93</v>
      </c>
      <c r="B21" s="5" t="s">
        <v>94</v>
      </c>
      <c r="C21" s="5" t="s">
        <v>29</v>
      </c>
      <c r="D21" s="5" t="s">
        <v>44</v>
      </c>
      <c r="E21" s="5" t="s">
        <v>69</v>
      </c>
      <c r="F21" s="8">
        <v>42000.0</v>
      </c>
      <c r="G21" s="9">
        <v>113111.0</v>
      </c>
      <c r="H21" s="10" t="str">
        <f t="array" ref="H21:J21">XLOOKUP(C21,DimAnunciantes!$A$2:$A$11,DimAnunciantes!$B$2:D$11)</f>
        <v>Spotify</v>
      </c>
      <c r="I21" s="10" t="s">
        <v>33</v>
      </c>
      <c r="J21" s="10" t="s">
        <v>21</v>
      </c>
      <c r="K21" s="11">
        <f>F21*'Instrucciones y Retos'!$J$2</f>
        <v>5040</v>
      </c>
      <c r="L21" s="10" t="str">
        <f t="shared" si="1"/>
        <v>ESTANDAR</v>
      </c>
    </row>
    <row r="22" ht="15.75" customHeight="1">
      <c r="A22" s="5" t="s">
        <v>95</v>
      </c>
      <c r="B22" s="5" t="s">
        <v>94</v>
      </c>
      <c r="C22" s="5" t="s">
        <v>23</v>
      </c>
      <c r="D22" s="5" t="s">
        <v>61</v>
      </c>
      <c r="E22" s="5" t="s">
        <v>72</v>
      </c>
      <c r="F22" s="8">
        <v>77000.0</v>
      </c>
      <c r="G22" s="9">
        <v>140663.0</v>
      </c>
      <c r="H22" s="10" t="str">
        <f t="array" ref="H22:J22">XLOOKUP(C22,DimAnunciantes!$A$2:$A$11,DimAnunciantes!$B$2:D$11)</f>
        <v>Nissan</v>
      </c>
      <c r="I22" s="10" t="s">
        <v>26</v>
      </c>
      <c r="J22" s="10" t="s">
        <v>27</v>
      </c>
      <c r="K22" s="11">
        <f>F22*'Instrucciones y Retos'!$J$2</f>
        <v>9240</v>
      </c>
      <c r="L22" s="10" t="str">
        <f t="shared" si="1"/>
        <v>ESTANDAR</v>
      </c>
    </row>
    <row r="23" ht="15.75" customHeight="1">
      <c r="A23" s="5" t="s">
        <v>96</v>
      </c>
      <c r="B23" s="5" t="s">
        <v>97</v>
      </c>
      <c r="C23" s="5" t="s">
        <v>52</v>
      </c>
      <c r="D23" s="5" t="s">
        <v>44</v>
      </c>
      <c r="E23" s="5" t="s">
        <v>69</v>
      </c>
      <c r="F23" s="8">
        <v>17000.0</v>
      </c>
      <c r="G23" s="9">
        <v>41081.0</v>
      </c>
      <c r="H23" s="10" t="str">
        <f t="array" ref="H23:J23">XLOOKUP(C23,DimAnunciantes!$A$2:$A$11,DimAnunciantes!$B$2:D$11)</f>
        <v>Cinépolis</v>
      </c>
      <c r="I23" s="10" t="s">
        <v>33</v>
      </c>
      <c r="J23" s="10" t="s">
        <v>27</v>
      </c>
      <c r="K23" s="11">
        <f>F23*'Instrucciones y Retos'!$J$2</f>
        <v>2040</v>
      </c>
      <c r="L23" s="10" t="str">
        <f t="shared" si="1"/>
        <v>ESTANDAR</v>
      </c>
    </row>
    <row r="24" ht="15.75" customHeight="1">
      <c r="A24" s="5" t="s">
        <v>98</v>
      </c>
      <c r="B24" s="5" t="s">
        <v>99</v>
      </c>
      <c r="C24" s="5" t="s">
        <v>29</v>
      </c>
      <c r="D24" s="5" t="s">
        <v>44</v>
      </c>
      <c r="E24" s="5" t="s">
        <v>64</v>
      </c>
      <c r="F24" s="8">
        <v>128000.0</v>
      </c>
      <c r="G24" s="9">
        <v>333230.0</v>
      </c>
      <c r="H24" s="10" t="str">
        <f t="array" ref="H24:J24">XLOOKUP(C24,DimAnunciantes!$A$2:$A$11,DimAnunciantes!$B$2:D$11)</f>
        <v>Spotify</v>
      </c>
      <c r="I24" s="10" t="s">
        <v>33</v>
      </c>
      <c r="J24" s="10" t="s">
        <v>21</v>
      </c>
      <c r="K24" s="11">
        <f>F24*'Instrucciones y Retos'!$J$2</f>
        <v>15360</v>
      </c>
      <c r="L24" s="10" t="str">
        <f t="shared" si="1"/>
        <v>PREMIUM</v>
      </c>
    </row>
    <row r="25" ht="15.75" customHeight="1">
      <c r="A25" s="5" t="s">
        <v>100</v>
      </c>
      <c r="B25" s="5" t="s">
        <v>99</v>
      </c>
      <c r="C25" s="5" t="s">
        <v>35</v>
      </c>
      <c r="D25" s="5" t="s">
        <v>44</v>
      </c>
      <c r="E25" s="5" t="s">
        <v>46</v>
      </c>
      <c r="F25" s="8">
        <v>48000.0</v>
      </c>
      <c r="G25" s="9">
        <v>136482.0</v>
      </c>
      <c r="H25" s="10" t="str">
        <f t="array" ref="H25:J25">XLOOKUP(C25,DimAnunciantes!$A$2:$A$11,DimAnunciantes!$B$2:D$11)</f>
        <v>Telcel</v>
      </c>
      <c r="I25" s="10" t="s">
        <v>39</v>
      </c>
      <c r="J25" s="10" t="s">
        <v>40</v>
      </c>
      <c r="K25" s="11">
        <f>F25*'Instrucciones y Retos'!$J$2</f>
        <v>5760</v>
      </c>
      <c r="L25" s="10" t="str">
        <f t="shared" si="1"/>
        <v>ESTANDAR</v>
      </c>
    </row>
    <row r="26" ht="15.75" customHeight="1">
      <c r="A26" s="5" t="s">
        <v>101</v>
      </c>
      <c r="B26" s="5" t="s">
        <v>102</v>
      </c>
      <c r="C26" s="5" t="s">
        <v>49</v>
      </c>
      <c r="D26" s="5" t="s">
        <v>67</v>
      </c>
      <c r="E26" s="5" t="s">
        <v>46</v>
      </c>
      <c r="F26" s="8">
        <v>28000.0</v>
      </c>
      <c r="G26" s="9">
        <v>79708.0</v>
      </c>
      <c r="H26" s="10" t="str">
        <f t="array" ref="H26:J26">XLOOKUP(C26,DimAnunciantes!$A$2:$A$11,DimAnunciantes!$B$2:D$11)</f>
        <v>Banorte</v>
      </c>
      <c r="I26" s="10" t="s">
        <v>51</v>
      </c>
      <c r="J26" s="10" t="s">
        <v>21</v>
      </c>
      <c r="K26" s="11">
        <f>F26*'Instrucciones y Retos'!$J$2</f>
        <v>3360</v>
      </c>
      <c r="L26" s="10" t="str">
        <f t="shared" si="1"/>
        <v>ESTANDAR</v>
      </c>
    </row>
    <row r="27" ht="15.75" customHeight="1">
      <c r="A27" s="5" t="s">
        <v>103</v>
      </c>
      <c r="B27" s="5" t="s">
        <v>102</v>
      </c>
      <c r="C27" s="5" t="s">
        <v>47</v>
      </c>
      <c r="D27" s="5" t="s">
        <v>67</v>
      </c>
      <c r="E27" s="5" t="s">
        <v>72</v>
      </c>
      <c r="F27" s="8">
        <v>145000.0</v>
      </c>
      <c r="G27" s="9">
        <v>251037.0</v>
      </c>
      <c r="H27" s="10" t="str">
        <f t="array" ref="H27:J27">XLOOKUP(C27,DimAnunciantes!$A$2:$A$11,DimAnunciantes!$B$2:D$11)</f>
        <v>Netflix</v>
      </c>
      <c r="I27" s="10" t="s">
        <v>33</v>
      </c>
      <c r="J27" s="10" t="s">
        <v>40</v>
      </c>
      <c r="K27" s="11">
        <f>F27*'Instrucciones y Retos'!$J$2</f>
        <v>17400</v>
      </c>
      <c r="L27" s="10" t="str">
        <f t="shared" si="1"/>
        <v>PREMIUM</v>
      </c>
    </row>
    <row r="28" ht="15.75" customHeight="1">
      <c r="A28" s="5" t="s">
        <v>104</v>
      </c>
      <c r="B28" s="5" t="s">
        <v>105</v>
      </c>
      <c r="C28" s="5" t="s">
        <v>42</v>
      </c>
      <c r="D28" s="5" t="s">
        <v>61</v>
      </c>
      <c r="E28" s="5" t="s">
        <v>62</v>
      </c>
      <c r="F28" s="8">
        <v>29000.0</v>
      </c>
      <c r="G28" s="9">
        <v>56784.0</v>
      </c>
      <c r="H28" s="10" t="str">
        <f t="array" ref="H28:J28">XLOOKUP(C28,DimAnunciantes!$A$2:$A$11,DimAnunciantes!$B$2:D$11)</f>
        <v>Bimbo</v>
      </c>
      <c r="I28" s="10" t="s">
        <v>45</v>
      </c>
      <c r="J28" s="10" t="s">
        <v>27</v>
      </c>
      <c r="K28" s="11">
        <f>F28*'Instrucciones y Retos'!$J$2</f>
        <v>3480</v>
      </c>
      <c r="L28" s="10" t="str">
        <f t="shared" si="1"/>
        <v>ESTANDAR</v>
      </c>
    </row>
    <row r="29" ht="15.75" customHeight="1">
      <c r="A29" s="5" t="s">
        <v>106</v>
      </c>
      <c r="B29" s="5" t="s">
        <v>105</v>
      </c>
      <c r="C29" s="5" t="s">
        <v>42</v>
      </c>
      <c r="D29" s="5" t="s">
        <v>67</v>
      </c>
      <c r="E29" s="5" t="s">
        <v>62</v>
      </c>
      <c r="F29" s="8">
        <v>123000.0</v>
      </c>
      <c r="G29" s="9">
        <v>355861.0</v>
      </c>
      <c r="H29" s="10" t="str">
        <f t="array" ref="H29:J29">XLOOKUP(C29,DimAnunciantes!$A$2:$A$11,DimAnunciantes!$B$2:D$11)</f>
        <v>Bimbo</v>
      </c>
      <c r="I29" s="10" t="s">
        <v>45</v>
      </c>
      <c r="J29" s="10" t="s">
        <v>27</v>
      </c>
      <c r="K29" s="11">
        <f>F29*'Instrucciones y Retos'!$J$2</f>
        <v>14760</v>
      </c>
      <c r="L29" s="10" t="str">
        <f t="shared" si="1"/>
        <v>PREMIUM</v>
      </c>
    </row>
    <row r="30" ht="15.75" customHeight="1">
      <c r="A30" s="5" t="s">
        <v>107</v>
      </c>
      <c r="B30" s="5" t="s">
        <v>105</v>
      </c>
      <c r="C30" s="5" t="s">
        <v>47</v>
      </c>
      <c r="D30" s="5" t="s">
        <v>61</v>
      </c>
      <c r="E30" s="5" t="s">
        <v>64</v>
      </c>
      <c r="F30" s="8">
        <v>145000.0</v>
      </c>
      <c r="G30" s="9">
        <v>360619.0</v>
      </c>
      <c r="H30" s="10" t="str">
        <f t="array" ref="H30:J30">XLOOKUP(C30,DimAnunciantes!$A$2:$A$11,DimAnunciantes!$B$2:D$11)</f>
        <v>Netflix</v>
      </c>
      <c r="I30" s="10" t="s">
        <v>33</v>
      </c>
      <c r="J30" s="10" t="s">
        <v>40</v>
      </c>
      <c r="K30" s="11">
        <f>F30*'Instrucciones y Retos'!$J$2</f>
        <v>17400</v>
      </c>
      <c r="L30" s="10" t="str">
        <f t="shared" si="1"/>
        <v>PREMIUM</v>
      </c>
    </row>
    <row r="31" ht="15.75" customHeight="1">
      <c r="A31" s="5" t="s">
        <v>108</v>
      </c>
      <c r="B31" s="5" t="s">
        <v>105</v>
      </c>
      <c r="C31" s="5" t="s">
        <v>47</v>
      </c>
      <c r="D31" s="5" t="s">
        <v>67</v>
      </c>
      <c r="E31" s="5" t="s">
        <v>72</v>
      </c>
      <c r="F31" s="8">
        <v>130000.0</v>
      </c>
      <c r="G31" s="9">
        <v>226461.0</v>
      </c>
      <c r="H31" s="10" t="str">
        <f t="array" ref="H31:J31">XLOOKUP(C31,DimAnunciantes!$A$2:$A$11,DimAnunciantes!$B$2:D$11)</f>
        <v>Netflix</v>
      </c>
      <c r="I31" s="10" t="s">
        <v>33</v>
      </c>
      <c r="J31" s="10" t="s">
        <v>40</v>
      </c>
      <c r="K31" s="11">
        <f>F31*'Instrucciones y Retos'!$J$2</f>
        <v>15600</v>
      </c>
      <c r="L31" s="10" t="str">
        <f t="shared" si="1"/>
        <v>PREMIUM</v>
      </c>
    </row>
    <row r="32" ht="15.75" customHeight="1">
      <c r="A32" s="5" t="s">
        <v>109</v>
      </c>
      <c r="B32" s="5" t="s">
        <v>110</v>
      </c>
      <c r="C32" s="5" t="s">
        <v>57</v>
      </c>
      <c r="D32" s="5" t="s">
        <v>44</v>
      </c>
      <c r="E32" s="5" t="s">
        <v>62</v>
      </c>
      <c r="F32" s="8">
        <v>67000.0</v>
      </c>
      <c r="G32" s="9">
        <v>190243.0</v>
      </c>
      <c r="H32" s="10" t="str">
        <f t="array" ref="H32:J32">XLOOKUP(C32,DimAnunciantes!$A$2:$A$11,DimAnunciantes!$B$2:D$11)</f>
        <v>Uber</v>
      </c>
      <c r="I32" s="10" t="s">
        <v>59</v>
      </c>
      <c r="J32" s="10" t="s">
        <v>21</v>
      </c>
      <c r="K32" s="11">
        <f>F32*'Instrucciones y Retos'!$J$2</f>
        <v>8040</v>
      </c>
      <c r="L32" s="10" t="str">
        <f t="shared" si="1"/>
        <v>ESTANDAR</v>
      </c>
    </row>
    <row r="33" ht="15.75" customHeight="1">
      <c r="A33" s="5" t="s">
        <v>111</v>
      </c>
      <c r="B33" s="5" t="s">
        <v>110</v>
      </c>
      <c r="C33" s="5" t="s">
        <v>54</v>
      </c>
      <c r="D33" s="5" t="s">
        <v>36</v>
      </c>
      <c r="E33" s="5" t="s">
        <v>69</v>
      </c>
      <c r="F33" s="8">
        <v>34000.0</v>
      </c>
      <c r="G33" s="9">
        <v>115263.0</v>
      </c>
      <c r="H33" s="10" t="str">
        <f t="array" ref="H33:J33">XLOOKUP(C33,DimAnunciantes!$A$2:$A$11,DimAnunciantes!$B$2:D$11)</f>
        <v>Samsung</v>
      </c>
      <c r="I33" s="10" t="s">
        <v>56</v>
      </c>
      <c r="J33" s="10" t="s">
        <v>40</v>
      </c>
      <c r="K33" s="11">
        <f>F33*'Instrucciones y Retos'!$J$2</f>
        <v>4080</v>
      </c>
      <c r="L33" s="10" t="str">
        <f t="shared" si="1"/>
        <v>ESTANDAR</v>
      </c>
    </row>
    <row r="34" ht="15.75" customHeight="1">
      <c r="A34" s="5" t="s">
        <v>112</v>
      </c>
      <c r="B34" s="5" t="s">
        <v>110</v>
      </c>
      <c r="C34" s="5" t="s">
        <v>57</v>
      </c>
      <c r="D34" s="5" t="s">
        <v>36</v>
      </c>
      <c r="E34" s="5" t="s">
        <v>46</v>
      </c>
      <c r="F34" s="8">
        <v>112000.0</v>
      </c>
      <c r="G34" s="9">
        <v>301479.0</v>
      </c>
      <c r="H34" s="10" t="str">
        <f t="array" ref="H34:J34">XLOOKUP(C34,DimAnunciantes!$A$2:$A$11,DimAnunciantes!$B$2:D$11)</f>
        <v>Uber</v>
      </c>
      <c r="I34" s="10" t="s">
        <v>59</v>
      </c>
      <c r="J34" s="10" t="s">
        <v>21</v>
      </c>
      <c r="K34" s="11">
        <f>F34*'Instrucciones y Retos'!$J$2</f>
        <v>13440</v>
      </c>
      <c r="L34" s="10" t="str">
        <f t="shared" si="1"/>
        <v>PREMIUM</v>
      </c>
    </row>
    <row r="35" ht="15.75" customHeight="1">
      <c r="A35" s="5" t="s">
        <v>113</v>
      </c>
      <c r="B35" s="5" t="s">
        <v>114</v>
      </c>
      <c r="C35" s="5" t="s">
        <v>54</v>
      </c>
      <c r="D35" s="5" t="s">
        <v>44</v>
      </c>
      <c r="E35" s="5" t="s">
        <v>72</v>
      </c>
      <c r="F35" s="8">
        <v>17000.0</v>
      </c>
      <c r="G35" s="9">
        <v>48629.0</v>
      </c>
      <c r="H35" s="10" t="str">
        <f t="array" ref="H35:J35">XLOOKUP(C35,DimAnunciantes!$A$2:$A$11,DimAnunciantes!$B$2:D$11)</f>
        <v>Samsung</v>
      </c>
      <c r="I35" s="10" t="s">
        <v>56</v>
      </c>
      <c r="J35" s="10" t="s">
        <v>40</v>
      </c>
      <c r="K35" s="11">
        <f>F35*'Instrucciones y Retos'!$J$2</f>
        <v>2040</v>
      </c>
      <c r="L35" s="10" t="str">
        <f t="shared" si="1"/>
        <v>ESTANDAR</v>
      </c>
    </row>
    <row r="36" ht="15.75" customHeight="1">
      <c r="A36" s="5" t="s">
        <v>115</v>
      </c>
      <c r="B36" s="5" t="s">
        <v>114</v>
      </c>
      <c r="C36" s="5" t="s">
        <v>47</v>
      </c>
      <c r="D36" s="5" t="s">
        <v>61</v>
      </c>
      <c r="E36" s="5" t="s">
        <v>62</v>
      </c>
      <c r="F36" s="8">
        <v>105000.0</v>
      </c>
      <c r="G36" s="9">
        <v>201496.0</v>
      </c>
      <c r="H36" s="10" t="str">
        <f t="array" ref="H36:J36">XLOOKUP(C36,DimAnunciantes!$A$2:$A$11,DimAnunciantes!$B$2:D$11)</f>
        <v>Netflix</v>
      </c>
      <c r="I36" s="10" t="s">
        <v>33</v>
      </c>
      <c r="J36" s="10" t="s">
        <v>40</v>
      </c>
      <c r="K36" s="11">
        <f>F36*'Instrucciones y Retos'!$J$2</f>
        <v>12600</v>
      </c>
      <c r="L36" s="10" t="str">
        <f t="shared" si="1"/>
        <v>PREMIUM</v>
      </c>
    </row>
    <row r="37" ht="15.75" customHeight="1">
      <c r="A37" s="5" t="s">
        <v>116</v>
      </c>
      <c r="B37" s="5" t="s">
        <v>114</v>
      </c>
      <c r="C37" s="5" t="s">
        <v>54</v>
      </c>
      <c r="D37" s="5" t="s">
        <v>44</v>
      </c>
      <c r="E37" s="5" t="s">
        <v>72</v>
      </c>
      <c r="F37" s="8">
        <v>150000.0</v>
      </c>
      <c r="G37" s="9">
        <v>227346.0</v>
      </c>
      <c r="H37" s="10" t="str">
        <f t="array" ref="H37:J37">XLOOKUP(C37,DimAnunciantes!$A$2:$A$11,DimAnunciantes!$B$2:D$11)</f>
        <v>Samsung</v>
      </c>
      <c r="I37" s="10" t="s">
        <v>56</v>
      </c>
      <c r="J37" s="10" t="s">
        <v>40</v>
      </c>
      <c r="K37" s="11">
        <f>F37*'Instrucciones y Retos'!$J$2</f>
        <v>18000</v>
      </c>
      <c r="L37" s="10" t="str">
        <f t="shared" si="1"/>
        <v>PREMIUM</v>
      </c>
    </row>
    <row r="38" ht="15.75" customHeight="1">
      <c r="A38" s="5" t="s">
        <v>117</v>
      </c>
      <c r="B38" s="5" t="s">
        <v>118</v>
      </c>
      <c r="C38" s="5" t="s">
        <v>57</v>
      </c>
      <c r="D38" s="5" t="s">
        <v>36</v>
      </c>
      <c r="E38" s="5" t="s">
        <v>46</v>
      </c>
      <c r="F38" s="8">
        <v>121000.0</v>
      </c>
      <c r="G38" s="9">
        <v>395945.0</v>
      </c>
      <c r="H38" s="10" t="str">
        <f t="array" ref="H38:J38">XLOOKUP(C38,DimAnunciantes!$A$2:$A$11,DimAnunciantes!$B$2:D$11)</f>
        <v>Uber</v>
      </c>
      <c r="I38" s="10" t="s">
        <v>59</v>
      </c>
      <c r="J38" s="10" t="s">
        <v>21</v>
      </c>
      <c r="K38" s="11">
        <f>F38*'Instrucciones y Retos'!$J$2</f>
        <v>14520</v>
      </c>
      <c r="L38" s="10" t="str">
        <f t="shared" si="1"/>
        <v>PREMIUM</v>
      </c>
    </row>
    <row r="39" ht="15.75" customHeight="1">
      <c r="A39" s="5" t="s">
        <v>119</v>
      </c>
      <c r="B39" s="5" t="s">
        <v>118</v>
      </c>
      <c r="C39" s="5" t="s">
        <v>35</v>
      </c>
      <c r="D39" s="5" t="s">
        <v>61</v>
      </c>
      <c r="E39" s="5" t="s">
        <v>72</v>
      </c>
      <c r="F39" s="8">
        <v>136000.0</v>
      </c>
      <c r="G39" s="9">
        <v>270095.0</v>
      </c>
      <c r="H39" s="10" t="str">
        <f t="array" ref="H39:J39">XLOOKUP(C39,DimAnunciantes!$A$2:$A$11,DimAnunciantes!$B$2:D$11)</f>
        <v>Telcel</v>
      </c>
      <c r="I39" s="10" t="s">
        <v>39</v>
      </c>
      <c r="J39" s="10" t="s">
        <v>40</v>
      </c>
      <c r="K39" s="11">
        <f>F39*'Instrucciones y Retos'!$J$2</f>
        <v>16320</v>
      </c>
      <c r="L39" s="10" t="str">
        <f t="shared" si="1"/>
        <v>PREMIUM</v>
      </c>
    </row>
    <row r="40" ht="15.75" customHeight="1">
      <c r="A40" s="5" t="s">
        <v>120</v>
      </c>
      <c r="B40" s="5" t="s">
        <v>118</v>
      </c>
      <c r="C40" s="5" t="s">
        <v>49</v>
      </c>
      <c r="D40" s="5" t="s">
        <v>61</v>
      </c>
      <c r="E40" s="5" t="s">
        <v>69</v>
      </c>
      <c r="F40" s="8">
        <v>39000.0</v>
      </c>
      <c r="G40" s="9">
        <v>109900.0</v>
      </c>
      <c r="H40" s="10" t="str">
        <f t="array" ref="H40:J40">XLOOKUP(C40,DimAnunciantes!$A$2:$A$11,DimAnunciantes!$B$2:D$11)</f>
        <v>Banorte</v>
      </c>
      <c r="I40" s="10" t="s">
        <v>51</v>
      </c>
      <c r="J40" s="10" t="s">
        <v>21</v>
      </c>
      <c r="K40" s="11">
        <f>F40*'Instrucciones y Retos'!$J$2</f>
        <v>4680</v>
      </c>
      <c r="L40" s="10" t="str">
        <f t="shared" si="1"/>
        <v>ESTANDAR</v>
      </c>
    </row>
    <row r="41" ht="15.75" customHeight="1">
      <c r="A41" s="5" t="s">
        <v>121</v>
      </c>
      <c r="B41" s="5" t="s">
        <v>118</v>
      </c>
      <c r="C41" s="5" t="s">
        <v>54</v>
      </c>
      <c r="D41" s="5" t="s">
        <v>61</v>
      </c>
      <c r="E41" s="5" t="s">
        <v>69</v>
      </c>
      <c r="F41" s="8">
        <v>145000.0</v>
      </c>
      <c r="G41" s="9">
        <v>240732.0</v>
      </c>
      <c r="H41" s="10" t="str">
        <f t="array" ref="H41:J41">XLOOKUP(C41,DimAnunciantes!$A$2:$A$11,DimAnunciantes!$B$2:D$11)</f>
        <v>Samsung</v>
      </c>
      <c r="I41" s="10" t="s">
        <v>56</v>
      </c>
      <c r="J41" s="10" t="s">
        <v>40</v>
      </c>
      <c r="K41" s="11">
        <f>F41*'Instrucciones y Retos'!$J$2</f>
        <v>17400</v>
      </c>
      <c r="L41" s="10" t="str">
        <f t="shared" si="1"/>
        <v>PREMIUM</v>
      </c>
    </row>
    <row r="42" ht="15.75" customHeight="1">
      <c r="A42" s="5" t="s">
        <v>122</v>
      </c>
      <c r="B42" s="5" t="s">
        <v>123</v>
      </c>
      <c r="C42" s="5" t="s">
        <v>23</v>
      </c>
      <c r="D42" s="5" t="s">
        <v>44</v>
      </c>
      <c r="E42" s="5" t="s">
        <v>72</v>
      </c>
      <c r="F42" s="8">
        <v>65000.0</v>
      </c>
      <c r="G42" s="9">
        <v>117369.0</v>
      </c>
      <c r="H42" s="10" t="str">
        <f t="array" ref="H42:J42">XLOOKUP(C42,DimAnunciantes!$A$2:$A$11,DimAnunciantes!$B$2:D$11)</f>
        <v>Nissan</v>
      </c>
      <c r="I42" s="10" t="s">
        <v>26</v>
      </c>
      <c r="J42" s="10" t="s">
        <v>27</v>
      </c>
      <c r="K42" s="11">
        <f>F42*'Instrucciones y Retos'!$J$2</f>
        <v>7800</v>
      </c>
      <c r="L42" s="10" t="str">
        <f t="shared" si="1"/>
        <v>ESTANDAR</v>
      </c>
    </row>
    <row r="43" ht="15.75" customHeight="1">
      <c r="A43" s="5" t="s">
        <v>124</v>
      </c>
      <c r="B43" s="5" t="s">
        <v>125</v>
      </c>
      <c r="C43" s="5" t="s">
        <v>29</v>
      </c>
      <c r="D43" s="5" t="s">
        <v>61</v>
      </c>
      <c r="E43" s="5" t="s">
        <v>46</v>
      </c>
      <c r="F43" s="8">
        <v>57000.0</v>
      </c>
      <c r="G43" s="9">
        <v>115716.0</v>
      </c>
      <c r="H43" s="10" t="str">
        <f t="array" ref="H43:J43">XLOOKUP(C43,DimAnunciantes!$A$2:$A$11,DimAnunciantes!$B$2:D$11)</f>
        <v>Spotify</v>
      </c>
      <c r="I43" s="10" t="s">
        <v>33</v>
      </c>
      <c r="J43" s="10" t="s">
        <v>21</v>
      </c>
      <c r="K43" s="11">
        <f>F43*'Instrucciones y Retos'!$J$2</f>
        <v>6840</v>
      </c>
      <c r="L43" s="10" t="str">
        <f t="shared" si="1"/>
        <v>ESTANDAR</v>
      </c>
    </row>
    <row r="44" ht="15.75" customHeight="1">
      <c r="A44" s="5" t="s">
        <v>126</v>
      </c>
      <c r="B44" s="5" t="s">
        <v>125</v>
      </c>
      <c r="C44" s="5" t="s">
        <v>54</v>
      </c>
      <c r="D44" s="5" t="s">
        <v>44</v>
      </c>
      <c r="E44" s="5" t="s">
        <v>72</v>
      </c>
      <c r="F44" s="8">
        <v>124000.0</v>
      </c>
      <c r="G44" s="9">
        <v>408660.0</v>
      </c>
      <c r="H44" s="10" t="str">
        <f t="array" ref="H44:J44">XLOOKUP(C44,DimAnunciantes!$A$2:$A$11,DimAnunciantes!$B$2:D$11)</f>
        <v>Samsung</v>
      </c>
      <c r="I44" s="10" t="s">
        <v>56</v>
      </c>
      <c r="J44" s="10" t="s">
        <v>40</v>
      </c>
      <c r="K44" s="11">
        <f>F44*'Instrucciones y Retos'!$J$2</f>
        <v>14880</v>
      </c>
      <c r="L44" s="10" t="str">
        <f t="shared" si="1"/>
        <v>PREMIUM</v>
      </c>
    </row>
    <row r="45" ht="15.75" customHeight="1">
      <c r="A45" s="5" t="s">
        <v>127</v>
      </c>
      <c r="B45" s="5" t="s">
        <v>128</v>
      </c>
      <c r="C45" s="5" t="s">
        <v>23</v>
      </c>
      <c r="D45" s="5" t="s">
        <v>36</v>
      </c>
      <c r="E45" s="5" t="s">
        <v>46</v>
      </c>
      <c r="F45" s="8">
        <v>32000.0</v>
      </c>
      <c r="G45" s="9">
        <v>110591.0</v>
      </c>
      <c r="H45" s="10" t="str">
        <f t="array" ref="H45:J45">XLOOKUP(C45,DimAnunciantes!$A$2:$A$11,DimAnunciantes!$B$2:D$11)</f>
        <v>Nissan</v>
      </c>
      <c r="I45" s="10" t="s">
        <v>26</v>
      </c>
      <c r="J45" s="10" t="s">
        <v>27</v>
      </c>
      <c r="K45" s="11">
        <f>F45*'Instrucciones y Retos'!$J$2</f>
        <v>3840</v>
      </c>
      <c r="L45" s="10" t="str">
        <f t="shared" si="1"/>
        <v>ESTANDAR</v>
      </c>
    </row>
    <row r="46" ht="15.75" customHeight="1">
      <c r="A46" s="5" t="s">
        <v>129</v>
      </c>
      <c r="B46" s="5" t="s">
        <v>128</v>
      </c>
      <c r="C46" s="5" t="s">
        <v>57</v>
      </c>
      <c r="D46" s="5" t="s">
        <v>44</v>
      </c>
      <c r="E46" s="5" t="s">
        <v>46</v>
      </c>
      <c r="F46" s="8">
        <v>128000.0</v>
      </c>
      <c r="G46" s="9">
        <v>305192.0</v>
      </c>
      <c r="H46" s="10" t="str">
        <f t="array" ref="H46:J46">XLOOKUP(C46,DimAnunciantes!$A$2:$A$11,DimAnunciantes!$B$2:D$11)</f>
        <v>Uber</v>
      </c>
      <c r="I46" s="10" t="s">
        <v>59</v>
      </c>
      <c r="J46" s="10" t="s">
        <v>21</v>
      </c>
      <c r="K46" s="11">
        <f>F46*'Instrucciones y Retos'!$J$2</f>
        <v>15360</v>
      </c>
      <c r="L46" s="10" t="str">
        <f t="shared" si="1"/>
        <v>PREMIUM</v>
      </c>
    </row>
    <row r="47" ht="15.75" customHeight="1">
      <c r="A47" s="5" t="s">
        <v>130</v>
      </c>
      <c r="B47" s="5" t="s">
        <v>128</v>
      </c>
      <c r="C47" s="5" t="s">
        <v>23</v>
      </c>
      <c r="D47" s="5" t="s">
        <v>36</v>
      </c>
      <c r="E47" s="5" t="s">
        <v>72</v>
      </c>
      <c r="F47" s="8">
        <v>69000.0</v>
      </c>
      <c r="G47" s="9">
        <v>173312.0</v>
      </c>
      <c r="H47" s="10" t="str">
        <f t="array" ref="H47:J47">XLOOKUP(C47,DimAnunciantes!$A$2:$A$11,DimAnunciantes!$B$2:D$11)</f>
        <v>Nissan</v>
      </c>
      <c r="I47" s="10" t="s">
        <v>26</v>
      </c>
      <c r="J47" s="10" t="s">
        <v>27</v>
      </c>
      <c r="K47" s="11">
        <f>F47*'Instrucciones y Retos'!$J$2</f>
        <v>8280</v>
      </c>
      <c r="L47" s="10" t="str">
        <f t="shared" si="1"/>
        <v>ESTANDAR</v>
      </c>
    </row>
    <row r="48" ht="15.75" customHeight="1">
      <c r="A48" s="5" t="s">
        <v>131</v>
      </c>
      <c r="B48" s="5" t="s">
        <v>128</v>
      </c>
      <c r="C48" s="5" t="s">
        <v>35</v>
      </c>
      <c r="D48" s="5" t="s">
        <v>67</v>
      </c>
      <c r="E48" s="5" t="s">
        <v>46</v>
      </c>
      <c r="F48" s="8">
        <v>117000.0</v>
      </c>
      <c r="G48" s="9">
        <v>232592.0</v>
      </c>
      <c r="H48" s="10" t="str">
        <f t="array" ref="H48:J48">XLOOKUP(C48,DimAnunciantes!$A$2:$A$11,DimAnunciantes!$B$2:D$11)</f>
        <v>Telcel</v>
      </c>
      <c r="I48" s="10" t="s">
        <v>39</v>
      </c>
      <c r="J48" s="10" t="s">
        <v>40</v>
      </c>
      <c r="K48" s="11">
        <f>F48*'Instrucciones y Retos'!$J$2</f>
        <v>14040</v>
      </c>
      <c r="L48" s="10" t="str">
        <f t="shared" si="1"/>
        <v>PREMIUM</v>
      </c>
    </row>
    <row r="49" ht="15.75" customHeight="1">
      <c r="A49" s="5" t="s">
        <v>132</v>
      </c>
      <c r="B49" s="5" t="s">
        <v>133</v>
      </c>
      <c r="C49" s="5" t="s">
        <v>47</v>
      </c>
      <c r="D49" s="5" t="s">
        <v>61</v>
      </c>
      <c r="E49" s="5" t="s">
        <v>69</v>
      </c>
      <c r="F49" s="8">
        <v>26000.0</v>
      </c>
      <c r="G49" s="9">
        <v>73385.0</v>
      </c>
      <c r="H49" s="10" t="str">
        <f t="array" ref="H49:J49">XLOOKUP(C49,DimAnunciantes!$A$2:$A$11,DimAnunciantes!$B$2:D$11)</f>
        <v>Netflix</v>
      </c>
      <c r="I49" s="10" t="s">
        <v>33</v>
      </c>
      <c r="J49" s="10" t="s">
        <v>40</v>
      </c>
      <c r="K49" s="11">
        <f>F49*'Instrucciones y Retos'!$J$2</f>
        <v>3120</v>
      </c>
      <c r="L49" s="10" t="str">
        <f t="shared" si="1"/>
        <v>ESTANDAR</v>
      </c>
    </row>
    <row r="50" ht="15.75" customHeight="1">
      <c r="A50" s="5" t="s">
        <v>134</v>
      </c>
      <c r="B50" s="5" t="s">
        <v>135</v>
      </c>
      <c r="C50" s="5" t="s">
        <v>23</v>
      </c>
      <c r="D50" s="5" t="s">
        <v>36</v>
      </c>
      <c r="E50" s="5" t="s">
        <v>62</v>
      </c>
      <c r="F50" s="8">
        <v>77000.0</v>
      </c>
      <c r="G50" s="9">
        <v>149874.0</v>
      </c>
      <c r="H50" s="10" t="str">
        <f t="array" ref="H50:J50">XLOOKUP(C50,DimAnunciantes!$A$2:$A$11,DimAnunciantes!$B$2:D$11)</f>
        <v>Nissan</v>
      </c>
      <c r="I50" s="10" t="s">
        <v>26</v>
      </c>
      <c r="J50" s="10" t="s">
        <v>27</v>
      </c>
      <c r="K50" s="11">
        <f>F50*'Instrucciones y Retos'!$J$2</f>
        <v>9240</v>
      </c>
      <c r="L50" s="10" t="str">
        <f t="shared" si="1"/>
        <v>ESTANDAR</v>
      </c>
    </row>
    <row r="51" ht="15.75" customHeight="1">
      <c r="A51" s="5" t="s">
        <v>136</v>
      </c>
      <c r="B51" s="5" t="s">
        <v>135</v>
      </c>
      <c r="C51" s="5" t="s">
        <v>23</v>
      </c>
      <c r="D51" s="5" t="s">
        <v>36</v>
      </c>
      <c r="E51" s="5" t="s">
        <v>46</v>
      </c>
      <c r="F51" s="8">
        <v>101000.0</v>
      </c>
      <c r="G51" s="9">
        <v>313219.0</v>
      </c>
      <c r="H51" s="10" t="str">
        <f t="array" ref="H51:J51">XLOOKUP(C51,DimAnunciantes!$A$2:$A$11,DimAnunciantes!$B$2:D$11)</f>
        <v>Nissan</v>
      </c>
      <c r="I51" s="10" t="s">
        <v>26</v>
      </c>
      <c r="J51" s="10" t="s">
        <v>27</v>
      </c>
      <c r="K51" s="11">
        <f>F51*'Instrucciones y Retos'!$J$2</f>
        <v>12120</v>
      </c>
      <c r="L51" s="10" t="str">
        <f t="shared" si="1"/>
        <v>PREMIUM</v>
      </c>
    </row>
    <row r="52" ht="15.75" customHeight="1">
      <c r="A52" s="5" t="s">
        <v>137</v>
      </c>
      <c r="B52" s="5" t="s">
        <v>138</v>
      </c>
      <c r="C52" s="5" t="s">
        <v>57</v>
      </c>
      <c r="D52" s="5" t="s">
        <v>44</v>
      </c>
      <c r="E52" s="5" t="s">
        <v>69</v>
      </c>
      <c r="F52" s="8">
        <v>75000.0</v>
      </c>
      <c r="G52" s="9">
        <v>213419.0</v>
      </c>
      <c r="H52" s="10" t="str">
        <f t="array" ref="H52:J52">XLOOKUP(C52,DimAnunciantes!$A$2:$A$11,DimAnunciantes!$B$2:D$11)</f>
        <v>Uber</v>
      </c>
      <c r="I52" s="10" t="s">
        <v>59</v>
      </c>
      <c r="J52" s="10" t="s">
        <v>21</v>
      </c>
      <c r="K52" s="11">
        <f>F52*'Instrucciones y Retos'!$J$2</f>
        <v>9000</v>
      </c>
      <c r="L52" s="10" t="str">
        <f t="shared" si="1"/>
        <v>ESTANDAR</v>
      </c>
    </row>
    <row r="53" ht="15.75" customHeight="1">
      <c r="A53" s="5" t="s">
        <v>139</v>
      </c>
      <c r="B53" s="5" t="s">
        <v>138</v>
      </c>
      <c r="C53" s="5" t="s">
        <v>35</v>
      </c>
      <c r="D53" s="5" t="s">
        <v>67</v>
      </c>
      <c r="E53" s="5" t="s">
        <v>62</v>
      </c>
      <c r="F53" s="8">
        <v>86000.0</v>
      </c>
      <c r="G53" s="9">
        <v>277668.0</v>
      </c>
      <c r="H53" s="10" t="str">
        <f t="array" ref="H53:J53">XLOOKUP(C53,DimAnunciantes!$A$2:$A$11,DimAnunciantes!$B$2:D$11)</f>
        <v>Telcel</v>
      </c>
      <c r="I53" s="10" t="s">
        <v>39</v>
      </c>
      <c r="J53" s="10" t="s">
        <v>40</v>
      </c>
      <c r="K53" s="11">
        <f>F53*'Instrucciones y Retos'!$J$2</f>
        <v>10320</v>
      </c>
      <c r="L53" s="10" t="str">
        <f t="shared" si="1"/>
        <v>PREMIUM</v>
      </c>
    </row>
    <row r="54" ht="15.75" customHeight="1">
      <c r="A54" s="5" t="s">
        <v>140</v>
      </c>
      <c r="B54" s="5" t="s">
        <v>138</v>
      </c>
      <c r="C54" s="5" t="s">
        <v>49</v>
      </c>
      <c r="D54" s="5" t="s">
        <v>44</v>
      </c>
      <c r="E54" s="5" t="s">
        <v>46</v>
      </c>
      <c r="F54" s="8">
        <v>90000.0</v>
      </c>
      <c r="G54" s="9">
        <v>234794.0</v>
      </c>
      <c r="H54" s="10" t="str">
        <f t="array" ref="H54:J54">XLOOKUP(C54,DimAnunciantes!$A$2:$A$11,DimAnunciantes!$B$2:D$11)</f>
        <v>Banorte</v>
      </c>
      <c r="I54" s="10" t="s">
        <v>51</v>
      </c>
      <c r="J54" s="10" t="s">
        <v>21</v>
      </c>
      <c r="K54" s="11">
        <f>F54*'Instrucciones y Retos'!$J$2</f>
        <v>10800</v>
      </c>
      <c r="L54" s="10" t="str">
        <f t="shared" si="1"/>
        <v>PREMIUM</v>
      </c>
    </row>
    <row r="55" ht="15.75" customHeight="1">
      <c r="A55" s="5" t="s">
        <v>141</v>
      </c>
      <c r="B55" s="5" t="s">
        <v>138</v>
      </c>
      <c r="C55" s="5" t="s">
        <v>47</v>
      </c>
      <c r="D55" s="5" t="s">
        <v>44</v>
      </c>
      <c r="E55" s="5" t="s">
        <v>69</v>
      </c>
      <c r="F55" s="8">
        <v>91000.0</v>
      </c>
      <c r="G55" s="9">
        <v>228796.0</v>
      </c>
      <c r="H55" s="10" t="str">
        <f t="array" ref="H55:J55">XLOOKUP(C55,DimAnunciantes!$A$2:$A$11,DimAnunciantes!$B$2:D$11)</f>
        <v>Netflix</v>
      </c>
      <c r="I55" s="10" t="s">
        <v>33</v>
      </c>
      <c r="J55" s="10" t="s">
        <v>40</v>
      </c>
      <c r="K55" s="11">
        <f>F55*'Instrucciones y Retos'!$J$2</f>
        <v>10920</v>
      </c>
      <c r="L55" s="10" t="str">
        <f t="shared" si="1"/>
        <v>PREMIUM</v>
      </c>
    </row>
    <row r="56" ht="15.75" customHeight="1">
      <c r="A56" s="5" t="s">
        <v>142</v>
      </c>
      <c r="B56" s="5" t="s">
        <v>143</v>
      </c>
      <c r="C56" s="5" t="s">
        <v>54</v>
      </c>
      <c r="D56" s="5" t="s">
        <v>67</v>
      </c>
      <c r="E56" s="5" t="s">
        <v>64</v>
      </c>
      <c r="F56" s="8">
        <v>129000.0</v>
      </c>
      <c r="G56" s="9">
        <v>345530.0</v>
      </c>
      <c r="H56" s="10" t="str">
        <f t="array" ref="H56:J56">XLOOKUP(C56,DimAnunciantes!$A$2:$A$11,DimAnunciantes!$B$2:D$11)</f>
        <v>Samsung</v>
      </c>
      <c r="I56" s="10" t="s">
        <v>56</v>
      </c>
      <c r="J56" s="10" t="s">
        <v>40</v>
      </c>
      <c r="K56" s="11">
        <f>F56*'Instrucciones y Retos'!$J$2</f>
        <v>15480</v>
      </c>
      <c r="L56" s="10" t="str">
        <f t="shared" si="1"/>
        <v>PREMIUM</v>
      </c>
    </row>
    <row r="57" ht="15.75" customHeight="1">
      <c r="A57" s="5" t="s">
        <v>144</v>
      </c>
      <c r="B57" s="5" t="s">
        <v>143</v>
      </c>
      <c r="C57" s="5" t="s">
        <v>47</v>
      </c>
      <c r="D57" s="5" t="s">
        <v>61</v>
      </c>
      <c r="E57" s="5" t="s">
        <v>62</v>
      </c>
      <c r="F57" s="8">
        <v>144000.0</v>
      </c>
      <c r="G57" s="9">
        <v>356697.0</v>
      </c>
      <c r="H57" s="10" t="str">
        <f t="array" ref="H57:J57">XLOOKUP(C57,DimAnunciantes!$A$2:$A$11,DimAnunciantes!$B$2:D$11)</f>
        <v>Netflix</v>
      </c>
      <c r="I57" s="10" t="s">
        <v>33</v>
      </c>
      <c r="J57" s="10" t="s">
        <v>40</v>
      </c>
      <c r="K57" s="11">
        <f>F57*'Instrucciones y Retos'!$J$2</f>
        <v>17280</v>
      </c>
      <c r="L57" s="10" t="str">
        <f t="shared" si="1"/>
        <v>PREMIUM</v>
      </c>
    </row>
    <row r="58" ht="15.75" customHeight="1">
      <c r="A58" s="5" t="s">
        <v>145</v>
      </c>
      <c r="B58" s="5" t="s">
        <v>143</v>
      </c>
      <c r="C58" s="5" t="s">
        <v>29</v>
      </c>
      <c r="D58" s="5" t="s">
        <v>36</v>
      </c>
      <c r="E58" s="5" t="s">
        <v>62</v>
      </c>
      <c r="F58" s="8">
        <v>52000.0</v>
      </c>
      <c r="G58" s="9">
        <v>122697.0</v>
      </c>
      <c r="H58" s="10" t="str">
        <f t="array" ref="H58:J58">XLOOKUP(C58,DimAnunciantes!$A$2:$A$11,DimAnunciantes!$B$2:D$11)</f>
        <v>Spotify</v>
      </c>
      <c r="I58" s="10" t="s">
        <v>33</v>
      </c>
      <c r="J58" s="10" t="s">
        <v>21</v>
      </c>
      <c r="K58" s="11">
        <f>F58*'Instrucciones y Retos'!$J$2</f>
        <v>6240</v>
      </c>
      <c r="L58" s="10" t="str">
        <f t="shared" si="1"/>
        <v>ESTANDAR</v>
      </c>
    </row>
    <row r="59" ht="15.75" customHeight="1">
      <c r="A59" s="5" t="s">
        <v>146</v>
      </c>
      <c r="B59" s="5" t="s">
        <v>147</v>
      </c>
      <c r="C59" s="5" t="s">
        <v>54</v>
      </c>
      <c r="D59" s="5" t="s">
        <v>67</v>
      </c>
      <c r="E59" s="5" t="s">
        <v>64</v>
      </c>
      <c r="F59" s="8">
        <v>63000.0</v>
      </c>
      <c r="G59" s="9">
        <v>131885.0</v>
      </c>
      <c r="H59" s="10" t="str">
        <f t="array" ref="H59:J59">XLOOKUP(C59,DimAnunciantes!$A$2:$A$11,DimAnunciantes!$B$2:D$11)</f>
        <v>Samsung</v>
      </c>
      <c r="I59" s="10" t="s">
        <v>56</v>
      </c>
      <c r="J59" s="10" t="s">
        <v>40</v>
      </c>
      <c r="K59" s="11">
        <f>F59*'Instrucciones y Retos'!$J$2</f>
        <v>7560</v>
      </c>
      <c r="L59" s="10" t="str">
        <f t="shared" si="1"/>
        <v>ESTANDAR</v>
      </c>
    </row>
    <row r="60" ht="15.75" customHeight="1">
      <c r="A60" s="5" t="s">
        <v>148</v>
      </c>
      <c r="B60" s="5" t="s">
        <v>147</v>
      </c>
      <c r="C60" s="5" t="s">
        <v>23</v>
      </c>
      <c r="D60" s="5" t="s">
        <v>36</v>
      </c>
      <c r="E60" s="5" t="s">
        <v>72</v>
      </c>
      <c r="F60" s="8">
        <v>123000.0</v>
      </c>
      <c r="G60" s="9">
        <v>192318.0</v>
      </c>
      <c r="H60" s="10" t="str">
        <f t="array" ref="H60:J60">XLOOKUP(C60,DimAnunciantes!$A$2:$A$11,DimAnunciantes!$B$2:D$11)</f>
        <v>Nissan</v>
      </c>
      <c r="I60" s="10" t="s">
        <v>26</v>
      </c>
      <c r="J60" s="10" t="s">
        <v>27</v>
      </c>
      <c r="K60" s="11">
        <f>F60*'Instrucciones y Retos'!$J$2</f>
        <v>14760</v>
      </c>
      <c r="L60" s="10" t="str">
        <f t="shared" si="1"/>
        <v>PREMIUM</v>
      </c>
    </row>
    <row r="61" ht="15.75" customHeight="1">
      <c r="A61" s="5" t="s">
        <v>149</v>
      </c>
      <c r="B61" s="5" t="s">
        <v>147</v>
      </c>
      <c r="C61" s="5" t="s">
        <v>29</v>
      </c>
      <c r="D61" s="5" t="s">
        <v>61</v>
      </c>
      <c r="E61" s="5" t="s">
        <v>64</v>
      </c>
      <c r="F61" s="8">
        <v>60000.0</v>
      </c>
      <c r="G61" s="9">
        <v>195769.0</v>
      </c>
      <c r="H61" s="10" t="str">
        <f t="array" ref="H61:J61">XLOOKUP(C61,DimAnunciantes!$A$2:$A$11,DimAnunciantes!$B$2:D$11)</f>
        <v>Spotify</v>
      </c>
      <c r="I61" s="10" t="s">
        <v>33</v>
      </c>
      <c r="J61" s="10" t="s">
        <v>21</v>
      </c>
      <c r="K61" s="11">
        <f>F61*'Instrucciones y Retos'!$J$2</f>
        <v>7200</v>
      </c>
      <c r="L61" s="10" t="str">
        <f t="shared" si="1"/>
        <v>ESTANDAR</v>
      </c>
    </row>
    <row r="62" ht="15.75" customHeight="1">
      <c r="A62" s="5" t="s">
        <v>150</v>
      </c>
      <c r="B62" s="5" t="s">
        <v>151</v>
      </c>
      <c r="C62" s="5" t="s">
        <v>42</v>
      </c>
      <c r="D62" s="5" t="s">
        <v>36</v>
      </c>
      <c r="E62" s="5" t="s">
        <v>64</v>
      </c>
      <c r="F62" s="8">
        <v>40000.0</v>
      </c>
      <c r="G62" s="9">
        <v>90410.0</v>
      </c>
      <c r="H62" s="10" t="str">
        <f t="array" ref="H62:J62">XLOOKUP(C62,DimAnunciantes!$A$2:$A$11,DimAnunciantes!$B$2:D$11)</f>
        <v>Bimbo</v>
      </c>
      <c r="I62" s="10" t="s">
        <v>45</v>
      </c>
      <c r="J62" s="10" t="s">
        <v>27</v>
      </c>
      <c r="K62" s="11">
        <f>F62*'Instrucciones y Retos'!$J$2</f>
        <v>4800</v>
      </c>
      <c r="L62" s="10" t="str">
        <f t="shared" si="1"/>
        <v>ESTANDAR</v>
      </c>
    </row>
    <row r="63" ht="15.75" customHeight="1">
      <c r="A63" s="5" t="s">
        <v>152</v>
      </c>
      <c r="B63" s="5" t="s">
        <v>151</v>
      </c>
      <c r="C63" s="5" t="s">
        <v>29</v>
      </c>
      <c r="D63" s="5" t="s">
        <v>36</v>
      </c>
      <c r="E63" s="5" t="s">
        <v>72</v>
      </c>
      <c r="F63" s="8">
        <v>97000.0</v>
      </c>
      <c r="G63" s="9">
        <v>240289.0</v>
      </c>
      <c r="H63" s="10" t="str">
        <f t="array" ref="H63:J63">XLOOKUP(C63,DimAnunciantes!$A$2:$A$11,DimAnunciantes!$B$2:D$11)</f>
        <v>Spotify</v>
      </c>
      <c r="I63" s="10" t="s">
        <v>33</v>
      </c>
      <c r="J63" s="10" t="s">
        <v>21</v>
      </c>
      <c r="K63" s="11">
        <f>F63*'Instrucciones y Retos'!$J$2</f>
        <v>11640</v>
      </c>
      <c r="L63" s="10" t="str">
        <f t="shared" si="1"/>
        <v>PREMIUM</v>
      </c>
    </row>
    <row r="64" ht="15.75" customHeight="1">
      <c r="A64" s="5" t="s">
        <v>153</v>
      </c>
      <c r="B64" s="5" t="s">
        <v>151</v>
      </c>
      <c r="C64" s="5" t="s">
        <v>16</v>
      </c>
      <c r="D64" s="5" t="s">
        <v>36</v>
      </c>
      <c r="E64" s="5" t="s">
        <v>64</v>
      </c>
      <c r="F64" s="8">
        <v>55000.0</v>
      </c>
      <c r="G64" s="9">
        <v>169628.0</v>
      </c>
      <c r="H64" s="10" t="str">
        <f t="array" ref="H64:J64">XLOOKUP(C64,DimAnunciantes!$A$2:$A$11,DimAnunciantes!$B$2:D$11)</f>
        <v>Coca-Cola</v>
      </c>
      <c r="I64" s="10" t="s">
        <v>20</v>
      </c>
      <c r="J64" s="10" t="s">
        <v>21</v>
      </c>
      <c r="K64" s="11">
        <f>F64*'Instrucciones y Retos'!$J$2</f>
        <v>6600</v>
      </c>
      <c r="L64" s="10" t="str">
        <f t="shared" si="1"/>
        <v>ESTANDAR</v>
      </c>
    </row>
    <row r="65" ht="15.75" customHeight="1">
      <c r="A65" s="5" t="s">
        <v>154</v>
      </c>
      <c r="B65" s="5" t="s">
        <v>155</v>
      </c>
      <c r="C65" s="5" t="s">
        <v>16</v>
      </c>
      <c r="D65" s="5" t="s">
        <v>61</v>
      </c>
      <c r="E65" s="5" t="s">
        <v>46</v>
      </c>
      <c r="F65" s="8">
        <v>102000.0</v>
      </c>
      <c r="G65" s="9">
        <v>209685.0</v>
      </c>
      <c r="H65" s="10" t="str">
        <f t="array" ref="H65:J65">XLOOKUP(C65,DimAnunciantes!$A$2:$A$11,DimAnunciantes!$B$2:D$11)</f>
        <v>Coca-Cola</v>
      </c>
      <c r="I65" s="10" t="s">
        <v>20</v>
      </c>
      <c r="J65" s="10" t="s">
        <v>21</v>
      </c>
      <c r="K65" s="11">
        <f>F65*'Instrucciones y Retos'!$J$2</f>
        <v>12240</v>
      </c>
      <c r="L65" s="10" t="str">
        <f t="shared" si="1"/>
        <v>PREMIUM</v>
      </c>
    </row>
    <row r="66" ht="15.75" customHeight="1">
      <c r="A66" s="5" t="s">
        <v>156</v>
      </c>
      <c r="B66" s="5" t="s">
        <v>155</v>
      </c>
      <c r="C66" s="5" t="s">
        <v>23</v>
      </c>
      <c r="D66" s="5" t="s">
        <v>67</v>
      </c>
      <c r="E66" s="5" t="s">
        <v>69</v>
      </c>
      <c r="F66" s="8">
        <v>135000.0</v>
      </c>
      <c r="G66" s="9">
        <v>262557.0</v>
      </c>
      <c r="H66" s="10" t="str">
        <f t="array" ref="H66:J66">XLOOKUP(C66,DimAnunciantes!$A$2:$A$11,DimAnunciantes!$B$2:D$11)</f>
        <v>Nissan</v>
      </c>
      <c r="I66" s="10" t="s">
        <v>26</v>
      </c>
      <c r="J66" s="10" t="s">
        <v>27</v>
      </c>
      <c r="K66" s="11">
        <f>F66*'Instrucciones y Retos'!$J$2</f>
        <v>16200</v>
      </c>
      <c r="L66" s="10" t="str">
        <f t="shared" si="1"/>
        <v>PREMIUM</v>
      </c>
    </row>
    <row r="67" ht="15.75" customHeight="1">
      <c r="A67" s="5" t="s">
        <v>157</v>
      </c>
      <c r="B67" s="5" t="s">
        <v>158</v>
      </c>
      <c r="C67" s="5" t="s">
        <v>52</v>
      </c>
      <c r="D67" s="5" t="s">
        <v>44</v>
      </c>
      <c r="E67" s="5" t="s">
        <v>62</v>
      </c>
      <c r="F67" s="8">
        <v>73000.0</v>
      </c>
      <c r="G67" s="9">
        <v>142046.0</v>
      </c>
      <c r="H67" s="10" t="str">
        <f t="array" ref="H67:J67">XLOOKUP(C67,DimAnunciantes!$A$2:$A$11,DimAnunciantes!$B$2:D$11)</f>
        <v>Cinépolis</v>
      </c>
      <c r="I67" s="10" t="s">
        <v>33</v>
      </c>
      <c r="J67" s="10" t="s">
        <v>27</v>
      </c>
      <c r="K67" s="11">
        <f>F67*'Instrucciones y Retos'!$J$2</f>
        <v>8760</v>
      </c>
      <c r="L67" s="10" t="str">
        <f t="shared" si="1"/>
        <v>ESTANDAR</v>
      </c>
    </row>
    <row r="68" ht="15.75" customHeight="1">
      <c r="A68" s="5" t="s">
        <v>159</v>
      </c>
      <c r="B68" s="5" t="s">
        <v>158</v>
      </c>
      <c r="C68" s="5" t="s">
        <v>54</v>
      </c>
      <c r="D68" s="5" t="s">
        <v>44</v>
      </c>
      <c r="E68" s="5" t="s">
        <v>69</v>
      </c>
      <c r="F68" s="8">
        <v>44000.0</v>
      </c>
      <c r="G68" s="9">
        <v>143179.0</v>
      </c>
      <c r="H68" s="10" t="str">
        <f t="array" ref="H68:J68">XLOOKUP(C68,DimAnunciantes!$A$2:$A$11,DimAnunciantes!$B$2:D$11)</f>
        <v>Samsung</v>
      </c>
      <c r="I68" s="10" t="s">
        <v>56</v>
      </c>
      <c r="J68" s="10" t="s">
        <v>40</v>
      </c>
      <c r="K68" s="11">
        <f>F68*'Instrucciones y Retos'!$J$2</f>
        <v>5280</v>
      </c>
      <c r="L68" s="10" t="str">
        <f t="shared" si="1"/>
        <v>ESTANDAR</v>
      </c>
    </row>
    <row r="69" ht="15.75" customHeight="1">
      <c r="A69" s="5" t="s">
        <v>160</v>
      </c>
      <c r="B69" s="5" t="s">
        <v>158</v>
      </c>
      <c r="C69" s="5" t="s">
        <v>54</v>
      </c>
      <c r="D69" s="5" t="s">
        <v>44</v>
      </c>
      <c r="E69" s="5" t="s">
        <v>69</v>
      </c>
      <c r="F69" s="8">
        <v>49000.0</v>
      </c>
      <c r="G69" s="9">
        <v>99417.0</v>
      </c>
      <c r="H69" s="10" t="str">
        <f t="array" ref="H69:J69">XLOOKUP(C69,DimAnunciantes!$A$2:$A$11,DimAnunciantes!$B$2:D$11)</f>
        <v>Samsung</v>
      </c>
      <c r="I69" s="10" t="s">
        <v>56</v>
      </c>
      <c r="J69" s="10" t="s">
        <v>40</v>
      </c>
      <c r="K69" s="11">
        <f>F69*'Instrucciones y Retos'!$J$2</f>
        <v>5880</v>
      </c>
      <c r="L69" s="10" t="str">
        <f t="shared" si="1"/>
        <v>ESTANDAR</v>
      </c>
    </row>
    <row r="70" ht="15.75" customHeight="1">
      <c r="A70" s="5" t="s">
        <v>161</v>
      </c>
      <c r="B70" s="5" t="s">
        <v>158</v>
      </c>
      <c r="C70" s="5" t="s">
        <v>16</v>
      </c>
      <c r="D70" s="5" t="s">
        <v>44</v>
      </c>
      <c r="E70" s="5" t="s">
        <v>62</v>
      </c>
      <c r="F70" s="8">
        <v>68000.0</v>
      </c>
      <c r="G70" s="9">
        <v>160464.0</v>
      </c>
      <c r="H70" s="10" t="str">
        <f t="array" ref="H70:J70">XLOOKUP(C70,DimAnunciantes!$A$2:$A$11,DimAnunciantes!$B$2:D$11)</f>
        <v>Coca-Cola</v>
      </c>
      <c r="I70" s="10" t="s">
        <v>20</v>
      </c>
      <c r="J70" s="10" t="s">
        <v>21</v>
      </c>
      <c r="K70" s="11">
        <f>F70*'Instrucciones y Retos'!$J$2</f>
        <v>8160</v>
      </c>
      <c r="L70" s="10" t="str">
        <f t="shared" si="1"/>
        <v>ESTANDAR</v>
      </c>
    </row>
    <row r="71" ht="15.75" customHeight="1">
      <c r="A71" s="5" t="s">
        <v>162</v>
      </c>
      <c r="B71" s="5" t="s">
        <v>163</v>
      </c>
      <c r="C71" s="5" t="s">
        <v>47</v>
      </c>
      <c r="D71" s="5" t="s">
        <v>44</v>
      </c>
      <c r="E71" s="5" t="s">
        <v>69</v>
      </c>
      <c r="F71" s="8">
        <v>132000.0</v>
      </c>
      <c r="G71" s="9">
        <v>339564.0</v>
      </c>
      <c r="H71" s="10" t="str">
        <f t="array" ref="H71:J71">XLOOKUP(C71,DimAnunciantes!$A$2:$A$11,DimAnunciantes!$B$2:D$11)</f>
        <v>Netflix</v>
      </c>
      <c r="I71" s="10" t="s">
        <v>33</v>
      </c>
      <c r="J71" s="10" t="s">
        <v>40</v>
      </c>
      <c r="K71" s="11">
        <f>F71*'Instrucciones y Retos'!$J$2</f>
        <v>15840</v>
      </c>
      <c r="L71" s="10" t="str">
        <f t="shared" si="1"/>
        <v>PREMIUM</v>
      </c>
    </row>
    <row r="72" ht="15.75" customHeight="1">
      <c r="A72" s="5" t="s">
        <v>164</v>
      </c>
      <c r="B72" s="5" t="s">
        <v>163</v>
      </c>
      <c r="C72" s="5" t="s">
        <v>49</v>
      </c>
      <c r="D72" s="5" t="s">
        <v>36</v>
      </c>
      <c r="E72" s="5" t="s">
        <v>64</v>
      </c>
      <c r="F72" s="8">
        <v>112000.0</v>
      </c>
      <c r="G72" s="9">
        <v>168482.0</v>
      </c>
      <c r="H72" s="10" t="str">
        <f t="array" ref="H72:J72">XLOOKUP(C72,DimAnunciantes!$A$2:$A$11,DimAnunciantes!$B$2:D$11)</f>
        <v>Banorte</v>
      </c>
      <c r="I72" s="10" t="s">
        <v>51</v>
      </c>
      <c r="J72" s="10" t="s">
        <v>21</v>
      </c>
      <c r="K72" s="11">
        <f>F72*'Instrucciones y Retos'!$J$2</f>
        <v>13440</v>
      </c>
      <c r="L72" s="10" t="str">
        <f t="shared" si="1"/>
        <v>PREMIUM</v>
      </c>
    </row>
    <row r="73" ht="15.75" customHeight="1">
      <c r="A73" s="5" t="s">
        <v>165</v>
      </c>
      <c r="B73" s="5" t="s">
        <v>163</v>
      </c>
      <c r="C73" s="5" t="s">
        <v>57</v>
      </c>
      <c r="D73" s="5" t="s">
        <v>67</v>
      </c>
      <c r="E73" s="5" t="s">
        <v>64</v>
      </c>
      <c r="F73" s="8">
        <v>66000.0</v>
      </c>
      <c r="G73" s="9">
        <v>193109.0</v>
      </c>
      <c r="H73" s="10" t="str">
        <f t="array" ref="H73:J73">XLOOKUP(C73,DimAnunciantes!$A$2:$A$11,DimAnunciantes!$B$2:D$11)</f>
        <v>Uber</v>
      </c>
      <c r="I73" s="10" t="s">
        <v>59</v>
      </c>
      <c r="J73" s="10" t="s">
        <v>21</v>
      </c>
      <c r="K73" s="11">
        <f>F73*'Instrucciones y Retos'!$J$2</f>
        <v>7920</v>
      </c>
      <c r="L73" s="10" t="str">
        <f t="shared" si="1"/>
        <v>ESTANDAR</v>
      </c>
    </row>
    <row r="74" ht="15.75" customHeight="1">
      <c r="A74" s="5" t="s">
        <v>166</v>
      </c>
      <c r="B74" s="5" t="s">
        <v>163</v>
      </c>
      <c r="C74" s="5" t="s">
        <v>47</v>
      </c>
      <c r="D74" s="5" t="s">
        <v>36</v>
      </c>
      <c r="E74" s="5" t="s">
        <v>72</v>
      </c>
      <c r="F74" s="8">
        <v>75000.0</v>
      </c>
      <c r="G74" s="9">
        <v>154271.0</v>
      </c>
      <c r="H74" s="10" t="str">
        <f t="array" ref="H74:J74">XLOOKUP(C74,DimAnunciantes!$A$2:$A$11,DimAnunciantes!$B$2:D$11)</f>
        <v>Netflix</v>
      </c>
      <c r="I74" s="10" t="s">
        <v>33</v>
      </c>
      <c r="J74" s="10" t="s">
        <v>40</v>
      </c>
      <c r="K74" s="11">
        <f>F74*'Instrucciones y Retos'!$J$2</f>
        <v>9000</v>
      </c>
      <c r="L74" s="10" t="str">
        <f t="shared" si="1"/>
        <v>ESTANDAR</v>
      </c>
    </row>
    <row r="75" ht="15.75" customHeight="1">
      <c r="A75" s="5" t="s">
        <v>167</v>
      </c>
      <c r="B75" s="5" t="s">
        <v>163</v>
      </c>
      <c r="C75" s="5" t="s">
        <v>54</v>
      </c>
      <c r="D75" s="5" t="s">
        <v>36</v>
      </c>
      <c r="E75" s="5" t="s">
        <v>69</v>
      </c>
      <c r="F75" s="8">
        <v>18000.0</v>
      </c>
      <c r="G75" s="9">
        <v>61883.0</v>
      </c>
      <c r="H75" s="10" t="str">
        <f t="array" ref="H75:J75">XLOOKUP(C75,DimAnunciantes!$A$2:$A$11,DimAnunciantes!$B$2:D$11)</f>
        <v>Samsung</v>
      </c>
      <c r="I75" s="10" t="s">
        <v>56</v>
      </c>
      <c r="J75" s="10" t="s">
        <v>40</v>
      </c>
      <c r="K75" s="11">
        <f>F75*'Instrucciones y Retos'!$J$2</f>
        <v>2160</v>
      </c>
      <c r="L75" s="10" t="str">
        <f t="shared" si="1"/>
        <v>ESTANDAR</v>
      </c>
    </row>
    <row r="76" ht="15.75" customHeight="1">
      <c r="A76" s="5" t="s">
        <v>168</v>
      </c>
      <c r="B76" s="5" t="s">
        <v>169</v>
      </c>
      <c r="C76" s="5" t="s">
        <v>57</v>
      </c>
      <c r="D76" s="5" t="s">
        <v>61</v>
      </c>
      <c r="E76" s="5" t="s">
        <v>62</v>
      </c>
      <c r="F76" s="8">
        <v>26000.0</v>
      </c>
      <c r="G76" s="9">
        <v>75856.0</v>
      </c>
      <c r="H76" s="10" t="str">
        <f t="array" ref="H76:J76">XLOOKUP(C76,DimAnunciantes!$A$2:$A$11,DimAnunciantes!$B$2:D$11)</f>
        <v>Uber</v>
      </c>
      <c r="I76" s="10" t="s">
        <v>59</v>
      </c>
      <c r="J76" s="10" t="s">
        <v>21</v>
      </c>
      <c r="K76" s="11">
        <f>F76*'Instrucciones y Retos'!$J$2</f>
        <v>3120</v>
      </c>
      <c r="L76" s="10" t="str">
        <f t="shared" si="1"/>
        <v>ESTANDAR</v>
      </c>
    </row>
    <row r="77" ht="15.75" customHeight="1">
      <c r="A77" s="5" t="s">
        <v>170</v>
      </c>
      <c r="B77" s="5" t="s">
        <v>169</v>
      </c>
      <c r="C77" s="5" t="s">
        <v>57</v>
      </c>
      <c r="D77" s="5" t="s">
        <v>61</v>
      </c>
      <c r="E77" s="5" t="s">
        <v>72</v>
      </c>
      <c r="F77" s="8">
        <v>25000.0</v>
      </c>
      <c r="G77" s="9">
        <v>68469.0</v>
      </c>
      <c r="H77" s="10" t="str">
        <f t="array" ref="H77:J77">XLOOKUP(C77,DimAnunciantes!$A$2:$A$11,DimAnunciantes!$B$2:D$11)</f>
        <v>Uber</v>
      </c>
      <c r="I77" s="10" t="s">
        <v>59</v>
      </c>
      <c r="J77" s="10" t="s">
        <v>21</v>
      </c>
      <c r="K77" s="11">
        <f>F77*'Instrucciones y Retos'!$J$2</f>
        <v>3000</v>
      </c>
      <c r="L77" s="10" t="str">
        <f t="shared" si="1"/>
        <v>ESTANDAR</v>
      </c>
    </row>
    <row r="78" ht="15.75" customHeight="1">
      <c r="A78" s="5" t="s">
        <v>171</v>
      </c>
      <c r="B78" s="5" t="s">
        <v>169</v>
      </c>
      <c r="C78" s="5" t="s">
        <v>16</v>
      </c>
      <c r="D78" s="5" t="s">
        <v>36</v>
      </c>
      <c r="E78" s="5" t="s">
        <v>46</v>
      </c>
      <c r="F78" s="8">
        <v>85000.0</v>
      </c>
      <c r="G78" s="9">
        <v>134994.0</v>
      </c>
      <c r="H78" s="10" t="str">
        <f t="array" ref="H78:J78">XLOOKUP(C78,DimAnunciantes!$A$2:$A$11,DimAnunciantes!$B$2:D$11)</f>
        <v>Coca-Cola</v>
      </c>
      <c r="I78" s="10" t="s">
        <v>20</v>
      </c>
      <c r="J78" s="10" t="s">
        <v>21</v>
      </c>
      <c r="K78" s="11">
        <f>F78*'Instrucciones y Retos'!$J$2</f>
        <v>10200</v>
      </c>
      <c r="L78" s="10" t="str">
        <f t="shared" si="1"/>
        <v>PREMIUM</v>
      </c>
    </row>
    <row r="79" ht="15.75" customHeight="1">
      <c r="A79" s="5" t="s">
        <v>172</v>
      </c>
      <c r="B79" s="5" t="s">
        <v>169</v>
      </c>
      <c r="C79" s="5" t="s">
        <v>23</v>
      </c>
      <c r="D79" s="5" t="s">
        <v>61</v>
      </c>
      <c r="E79" s="5" t="s">
        <v>62</v>
      </c>
      <c r="F79" s="8">
        <v>87000.0</v>
      </c>
      <c r="G79" s="9">
        <v>235740.0</v>
      </c>
      <c r="H79" s="10" t="str">
        <f t="array" ref="H79:J79">XLOOKUP(C79,DimAnunciantes!$A$2:$A$11,DimAnunciantes!$B$2:D$11)</f>
        <v>Nissan</v>
      </c>
      <c r="I79" s="10" t="s">
        <v>26</v>
      </c>
      <c r="J79" s="10" t="s">
        <v>27</v>
      </c>
      <c r="K79" s="11">
        <f>F79*'Instrucciones y Retos'!$J$2</f>
        <v>10440</v>
      </c>
      <c r="L79" s="10" t="str">
        <f t="shared" si="1"/>
        <v>PREMIUM</v>
      </c>
    </row>
    <row r="80" ht="15.75" customHeight="1">
      <c r="A80" s="5" t="s">
        <v>173</v>
      </c>
      <c r="B80" s="5" t="s">
        <v>174</v>
      </c>
      <c r="C80" s="5" t="s">
        <v>49</v>
      </c>
      <c r="D80" s="5" t="s">
        <v>36</v>
      </c>
      <c r="E80" s="5" t="s">
        <v>72</v>
      </c>
      <c r="F80" s="8">
        <v>90000.0</v>
      </c>
      <c r="G80" s="9">
        <v>284292.0</v>
      </c>
      <c r="H80" s="10" t="str">
        <f t="array" ref="H80:J80">XLOOKUP(C80,DimAnunciantes!$A$2:$A$11,DimAnunciantes!$B$2:D$11)</f>
        <v>Banorte</v>
      </c>
      <c r="I80" s="10" t="s">
        <v>51</v>
      </c>
      <c r="J80" s="10" t="s">
        <v>21</v>
      </c>
      <c r="K80" s="11">
        <f>F80*'Instrucciones y Retos'!$J$2</f>
        <v>10800</v>
      </c>
      <c r="L80" s="10" t="str">
        <f t="shared" si="1"/>
        <v>PREMIUM</v>
      </c>
    </row>
    <row r="81" ht="15.75" customHeight="1">
      <c r="A81" s="5" t="s">
        <v>175</v>
      </c>
      <c r="B81" s="5" t="s">
        <v>174</v>
      </c>
      <c r="C81" s="5" t="s">
        <v>52</v>
      </c>
      <c r="D81" s="5" t="s">
        <v>61</v>
      </c>
      <c r="E81" s="5" t="s">
        <v>62</v>
      </c>
      <c r="F81" s="8">
        <v>50000.0</v>
      </c>
      <c r="G81" s="9">
        <v>99662.0</v>
      </c>
      <c r="H81" s="10" t="str">
        <f t="array" ref="H81:J81">XLOOKUP(C81,DimAnunciantes!$A$2:$A$11,DimAnunciantes!$B$2:D$11)</f>
        <v>Cinépolis</v>
      </c>
      <c r="I81" s="10" t="s">
        <v>33</v>
      </c>
      <c r="J81" s="10" t="s">
        <v>27</v>
      </c>
      <c r="K81" s="11">
        <f>F81*'Instrucciones y Retos'!$J$2</f>
        <v>6000</v>
      </c>
      <c r="L81" s="10" t="str">
        <f t="shared" si="1"/>
        <v>ESTANDAR</v>
      </c>
    </row>
    <row r="82" ht="15.75" customHeight="1">
      <c r="A82" s="5" t="s">
        <v>176</v>
      </c>
      <c r="B82" s="5" t="s">
        <v>174</v>
      </c>
      <c r="C82" s="5" t="s">
        <v>35</v>
      </c>
      <c r="D82" s="5" t="s">
        <v>61</v>
      </c>
      <c r="E82" s="5" t="s">
        <v>46</v>
      </c>
      <c r="F82" s="8">
        <v>139000.0</v>
      </c>
      <c r="G82" s="9">
        <v>342317.0</v>
      </c>
      <c r="H82" s="10" t="str">
        <f t="array" ref="H82:J82">XLOOKUP(C82,DimAnunciantes!$A$2:$A$11,DimAnunciantes!$B$2:D$11)</f>
        <v>Telcel</v>
      </c>
      <c r="I82" s="10" t="s">
        <v>39</v>
      </c>
      <c r="J82" s="10" t="s">
        <v>40</v>
      </c>
      <c r="K82" s="11">
        <f>F82*'Instrucciones y Retos'!$J$2</f>
        <v>16680</v>
      </c>
      <c r="L82" s="10" t="str">
        <f t="shared" si="1"/>
        <v>PREMIUM</v>
      </c>
    </row>
    <row r="83" ht="15.75" customHeight="1">
      <c r="A83" s="5" t="s">
        <v>177</v>
      </c>
      <c r="B83" s="5" t="s">
        <v>178</v>
      </c>
      <c r="C83" s="5" t="s">
        <v>42</v>
      </c>
      <c r="D83" s="5" t="s">
        <v>44</v>
      </c>
      <c r="E83" s="5" t="s">
        <v>72</v>
      </c>
      <c r="F83" s="8">
        <v>117000.0</v>
      </c>
      <c r="G83" s="9">
        <v>334507.0</v>
      </c>
      <c r="H83" s="10" t="str">
        <f t="array" ref="H83:J83">XLOOKUP(C83,DimAnunciantes!$A$2:$A$11,DimAnunciantes!$B$2:D$11)</f>
        <v>Bimbo</v>
      </c>
      <c r="I83" s="10" t="s">
        <v>45</v>
      </c>
      <c r="J83" s="10" t="s">
        <v>27</v>
      </c>
      <c r="K83" s="11">
        <f>F83*'Instrucciones y Retos'!$J$2</f>
        <v>14040</v>
      </c>
      <c r="L83" s="10" t="str">
        <f t="shared" si="1"/>
        <v>PREMIUM</v>
      </c>
    </row>
    <row r="84" ht="15.75" customHeight="1">
      <c r="A84" s="5" t="s">
        <v>179</v>
      </c>
      <c r="B84" s="5" t="s">
        <v>178</v>
      </c>
      <c r="C84" s="5" t="s">
        <v>57</v>
      </c>
      <c r="D84" s="5" t="s">
        <v>44</v>
      </c>
      <c r="E84" s="5" t="s">
        <v>64</v>
      </c>
      <c r="F84" s="8">
        <v>142000.0</v>
      </c>
      <c r="G84" s="9">
        <v>325359.0</v>
      </c>
      <c r="H84" s="10" t="str">
        <f t="array" ref="H84:J84">XLOOKUP(C84,DimAnunciantes!$A$2:$A$11,DimAnunciantes!$B$2:D$11)</f>
        <v>Uber</v>
      </c>
      <c r="I84" s="10" t="s">
        <v>59</v>
      </c>
      <c r="J84" s="10" t="s">
        <v>21</v>
      </c>
      <c r="K84" s="11">
        <f>F84*'Instrucciones y Retos'!$J$2</f>
        <v>17040</v>
      </c>
      <c r="L84" s="10" t="str">
        <f t="shared" si="1"/>
        <v>PREMIUM</v>
      </c>
    </row>
    <row r="85" ht="15.75" customHeight="1">
      <c r="A85" s="5" t="s">
        <v>180</v>
      </c>
      <c r="B85" s="5" t="s">
        <v>178</v>
      </c>
      <c r="C85" s="5" t="s">
        <v>16</v>
      </c>
      <c r="D85" s="5" t="s">
        <v>36</v>
      </c>
      <c r="E85" s="5" t="s">
        <v>62</v>
      </c>
      <c r="F85" s="8">
        <v>29000.0</v>
      </c>
      <c r="G85" s="9">
        <v>46408.0</v>
      </c>
      <c r="H85" s="10" t="str">
        <f t="array" ref="H85:J85">XLOOKUP(C85,DimAnunciantes!$A$2:$A$11,DimAnunciantes!$B$2:D$11)</f>
        <v>Coca-Cola</v>
      </c>
      <c r="I85" s="10" t="s">
        <v>20</v>
      </c>
      <c r="J85" s="10" t="s">
        <v>21</v>
      </c>
      <c r="K85" s="11">
        <f>F85*'Instrucciones y Retos'!$J$2</f>
        <v>3480</v>
      </c>
      <c r="L85" s="10" t="str">
        <f t="shared" si="1"/>
        <v>ESTANDAR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38118C0-117C-4A7F-9C64-0BB1BFECF8DF}" filter="1" showAutoFilter="1">
      <autoFilter ref="$A$1:$L$85"/>
    </customSheetView>
  </customSheetViews>
  <dataValidations>
    <dataValidation type="custom" allowBlank="1" showDropDown="1" sqref="K2:K85">
      <formula1>AND(ISNUMBER(K2),(NOT(OR(NOT(ISERROR(DATEVALUE(K2))), AND(ISNUMBER(K2), LEFT(CELL("format", K2))="D")))))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</sheetData>
  <drawing r:id="rId2"/>
</worksheet>
</file>