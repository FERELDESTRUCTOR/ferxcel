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ciones" sheetId="1" r:id="rId5"/>
    <sheet state="visible" name="Reportes" sheetId="2" r:id="rId6"/>
    <sheet state="visible" name="DatosCrudos" sheetId="3" r:id="rId7"/>
  </sheets>
  <definedNames/>
  <calcPr/>
</workbook>
</file>

<file path=xl/sharedStrings.xml><?xml version="1.0" encoding="utf-8"?>
<sst xmlns="http://schemas.openxmlformats.org/spreadsheetml/2006/main" count="770" uniqueCount="260">
  <si>
    <t>¡Módulo Google Sheets: Dominando la función QUERY!</t>
  </si>
  <si>
    <t>IMPORTANTE: Sube este archivo a Google Drive y ábrelo como 'Hoja de cálculo de Google' para que funcione la fórmula.</t>
  </si>
  <si>
    <t>Objetivo: Extraer y resumir datos al vuelo usando lenguaje tipo SQL directamente en la celda.</t>
  </si>
  <si>
    <t>Crea una pestaña nueva llamada 'Reportes' y resuelve los siguientes retos usando =QUERY()</t>
  </si>
  <si>
    <t>Nota: Asume que los datos están en la pestaña 'DatosCrudos' en el rango A:G.</t>
  </si>
  <si>
    <t>Reto 1 (Extracción Básica): Extrae solo las columnas Agencia (C), Estacion (D) e Inversion_MXN (F) de toda la base.</t>
  </si>
  <si>
    <t>Reto 2 (Filtro - WHERE): Extrae las mismas columnas, pero SOLO donde la Estacion sea 'Los 40'.</t>
  </si>
  <si>
    <t>Reto 3 (Métricas - SUM y GROUP BY): Crea una tabla resumen que muestre la Agencia y la SUMA de la Inversion_MXN.</t>
  </si>
  <si>
    <t>Reto 4 (Orden - ORDER BY): Toma el Reto 3 y ordénalo para que la agencia que más invirtió quede hasta arriba (DESC).</t>
  </si>
  <si>
    <t>Reto 5 (El Jefe Final): Muestra la Estacion, cuenta cuántas campañas tuvieron (COUNT) y suma la inversión (SUM).</t>
  </si>
  <si>
    <t xml:space="preserve">   - Filtra SOLO las inversiones mayores a $50,000 (WHERE).</t>
  </si>
  <si>
    <t xml:space="preserve">   - Agrupa por Estacion (GROUP BY).</t>
  </si>
  <si>
    <t xml:space="preserve">   - Ordena por la suma de inversión de mayor a menor (ORDER BY).</t>
  </si>
  <si>
    <t>ID_Campaña</t>
  </si>
  <si>
    <t>Fecha</t>
  </si>
  <si>
    <t>Agencia</t>
  </si>
  <si>
    <t>Estacion</t>
  </si>
  <si>
    <t>Formato</t>
  </si>
  <si>
    <t>Inversion_MXN</t>
  </si>
  <si>
    <t>Impactos</t>
  </si>
  <si>
    <t>CMP-2114</t>
  </si>
  <si>
    <t>2026-07-02</t>
  </si>
  <si>
    <t>Mindshare</t>
  </si>
  <si>
    <t>W Radio</t>
  </si>
  <si>
    <t>Spot 20s</t>
  </si>
  <si>
    <t>CMP-2039</t>
  </si>
  <si>
    <t>Havas</t>
  </si>
  <si>
    <t>Los 40</t>
  </si>
  <si>
    <t>Entrevista</t>
  </si>
  <si>
    <t>CMP-2097</t>
  </si>
  <si>
    <t>2026-07-03</t>
  </si>
  <si>
    <t>Omnicom</t>
  </si>
  <si>
    <t>La Kalle</t>
  </si>
  <si>
    <t>Mención</t>
  </si>
  <si>
    <t>CMP-2051</t>
  </si>
  <si>
    <t>CMP-2106</t>
  </si>
  <si>
    <t>2026-07-04</t>
  </si>
  <si>
    <t>Publicis</t>
  </si>
  <si>
    <t>CMP-2088</t>
  </si>
  <si>
    <t>Patrocinio</t>
  </si>
  <si>
    <t>CMP-2047</t>
  </si>
  <si>
    <t>Ke Buena</t>
  </si>
  <si>
    <t>CMP-2070</t>
  </si>
  <si>
    <t>2026-07-05</t>
  </si>
  <si>
    <t>CMP-2103</t>
  </si>
  <si>
    <t>2026-07-06</t>
  </si>
  <si>
    <t>Dentsu</t>
  </si>
  <si>
    <t>CMP-2040</t>
  </si>
  <si>
    <t>CMP-2113</t>
  </si>
  <si>
    <t>2026-07-07</t>
  </si>
  <si>
    <t>CMP-2029</t>
  </si>
  <si>
    <t>CMP-2116</t>
  </si>
  <si>
    <t>2026-07-08</t>
  </si>
  <si>
    <t>CMP-2102</t>
  </si>
  <si>
    <t>CMP-2052</t>
  </si>
  <si>
    <t>CMP-2085</t>
  </si>
  <si>
    <t>2026-07-09</t>
  </si>
  <si>
    <t>CMP-2146</t>
  </si>
  <si>
    <t>2026-07-10</t>
  </si>
  <si>
    <t>CMP-2130</t>
  </si>
  <si>
    <t>2026-07-11</t>
  </si>
  <si>
    <t>CMP-2004</t>
  </si>
  <si>
    <t>2026-07-12</t>
  </si>
  <si>
    <t>CMP-2042</t>
  </si>
  <si>
    <t>2026-07-13</t>
  </si>
  <si>
    <t>CMP-2135</t>
  </si>
  <si>
    <t>CMP-2129</t>
  </si>
  <si>
    <t>2026-07-14</t>
  </si>
  <si>
    <t>CMP-2117</t>
  </si>
  <si>
    <t>2026-07-15</t>
  </si>
  <si>
    <t>CMP-2059</t>
  </si>
  <si>
    <t>2026-07-18</t>
  </si>
  <si>
    <t>CMP-2025</t>
  </si>
  <si>
    <t>2026-07-19</t>
  </si>
  <si>
    <t>CMP-2074</t>
  </si>
  <si>
    <t>CMP-2010</t>
  </si>
  <si>
    <t>2026-07-20</t>
  </si>
  <si>
    <t>CMP-2011</t>
  </si>
  <si>
    <t>CMP-2107</t>
  </si>
  <si>
    <t>2026-07-21</t>
  </si>
  <si>
    <t>CMP-2098</t>
  </si>
  <si>
    <t>CMP-2064</t>
  </si>
  <si>
    <t>CMP-2037</t>
  </si>
  <si>
    <t>CMP-2046</t>
  </si>
  <si>
    <t>2026-07-22</t>
  </si>
  <si>
    <t>CMP-2020</t>
  </si>
  <si>
    <t>2026-07-23</t>
  </si>
  <si>
    <t>CMP-2079</t>
  </si>
  <si>
    <t>CMP-2075</t>
  </si>
  <si>
    <t>2026-07-24</t>
  </si>
  <si>
    <t>CMP-2038</t>
  </si>
  <si>
    <t>2026-07-25</t>
  </si>
  <si>
    <t>CMP-2066</t>
  </si>
  <si>
    <t>CMP-2091</t>
  </si>
  <si>
    <t>2026-07-26</t>
  </si>
  <si>
    <t>CMP-2147</t>
  </si>
  <si>
    <t>CMP-2076</t>
  </si>
  <si>
    <t>2026-07-27</t>
  </si>
  <si>
    <t>CMP-2002</t>
  </si>
  <si>
    <t>2026-07-28</t>
  </si>
  <si>
    <t>CMP-2003</t>
  </si>
  <si>
    <t>CMP-2024</t>
  </si>
  <si>
    <t>2026-07-29</t>
  </si>
  <si>
    <t>CMP-2093</t>
  </si>
  <si>
    <t>CMP-2090</t>
  </si>
  <si>
    <t>CMP-2124</t>
  </si>
  <si>
    <t>2026-07-30</t>
  </si>
  <si>
    <t>CMP-2045</t>
  </si>
  <si>
    <t>2026-07-31</t>
  </si>
  <si>
    <t>CMP-2005</t>
  </si>
  <si>
    <t>CMP-2110</t>
  </si>
  <si>
    <t>CMP-2127</t>
  </si>
  <si>
    <t>2026-08-02</t>
  </si>
  <si>
    <t>CMP-2096</t>
  </si>
  <si>
    <t>2026-08-03</t>
  </si>
  <si>
    <t>CMP-2048</t>
  </si>
  <si>
    <t>CMP-2050</t>
  </si>
  <si>
    <t>CMP-2030</t>
  </si>
  <si>
    <t>2026-08-04</t>
  </si>
  <si>
    <t>CMP-2141</t>
  </si>
  <si>
    <t>CMP-2033</t>
  </si>
  <si>
    <t>CMP-2007</t>
  </si>
  <si>
    <t>CMP-2086</t>
  </si>
  <si>
    <t>2026-08-05</t>
  </si>
  <si>
    <t>CMP-2148</t>
  </si>
  <si>
    <t>CMP-2101</t>
  </si>
  <si>
    <t>CMP-2122</t>
  </si>
  <si>
    <t>CMP-2023</t>
  </si>
  <si>
    <t>2026-08-06</t>
  </si>
  <si>
    <t>CMP-2087</t>
  </si>
  <si>
    <t>CMP-2006</t>
  </si>
  <si>
    <t>2026-08-08</t>
  </si>
  <si>
    <t>CMP-2073</t>
  </si>
  <si>
    <t>CMP-2092</t>
  </si>
  <si>
    <t>2026-08-09</t>
  </si>
  <si>
    <t>CMP-2067</t>
  </si>
  <si>
    <t>CMP-2018</t>
  </si>
  <si>
    <t>2026-08-11</t>
  </si>
  <si>
    <t>CMP-2121</t>
  </si>
  <si>
    <t>CMP-2140</t>
  </si>
  <si>
    <t>CMP-2125</t>
  </si>
  <si>
    <t>2026-08-12</t>
  </si>
  <si>
    <t>CMP-2123</t>
  </si>
  <si>
    <t>2026-08-13</t>
  </si>
  <si>
    <t>CMP-2034</t>
  </si>
  <si>
    <t>CMP-2016</t>
  </si>
  <si>
    <t>CMP-2017</t>
  </si>
  <si>
    <t>2026-08-14</t>
  </si>
  <si>
    <t>CMP-2009</t>
  </si>
  <si>
    <t>CMP-2081</t>
  </si>
  <si>
    <t>2026-08-16</t>
  </si>
  <si>
    <t>CMP-2149</t>
  </si>
  <si>
    <t>CMP-2136</t>
  </si>
  <si>
    <t>2026-08-17</t>
  </si>
  <si>
    <t>CMP-2061</t>
  </si>
  <si>
    <t>2026-08-18</t>
  </si>
  <si>
    <t>CMP-2095</t>
  </si>
  <si>
    <t>CMP-2043</t>
  </si>
  <si>
    <t>2026-08-19</t>
  </si>
  <si>
    <t>CMP-2104</t>
  </si>
  <si>
    <t>CMP-2080</t>
  </si>
  <si>
    <t>CMP-2077</t>
  </si>
  <si>
    <t>2026-08-20</t>
  </si>
  <si>
    <t>CMP-2144</t>
  </si>
  <si>
    <t>CMP-2055</t>
  </si>
  <si>
    <t>CMP-2053</t>
  </si>
  <si>
    <t>CMP-2094</t>
  </si>
  <si>
    <t>2026-08-21</t>
  </si>
  <si>
    <t>CMP-2133</t>
  </si>
  <si>
    <t>2026-08-22</t>
  </si>
  <si>
    <t>CMP-2071</t>
  </si>
  <si>
    <t>CMP-2035</t>
  </si>
  <si>
    <t>2026-08-23</t>
  </si>
  <si>
    <t>CMP-2056</t>
  </si>
  <si>
    <t>CMP-2019</t>
  </si>
  <si>
    <t>2026-08-24</t>
  </si>
  <si>
    <t>CMP-2143</t>
  </si>
  <si>
    <t>CMP-2028</t>
  </si>
  <si>
    <t>2026-08-25</t>
  </si>
  <si>
    <t>CMP-2118</t>
  </si>
  <si>
    <t>2026-08-26</t>
  </si>
  <si>
    <t>CMP-2054</t>
  </si>
  <si>
    <t>CMP-2108</t>
  </si>
  <si>
    <t>2026-08-27</t>
  </si>
  <si>
    <t>CMP-2099</t>
  </si>
  <si>
    <t>2026-08-29</t>
  </si>
  <si>
    <t>CMP-2142</t>
  </si>
  <si>
    <t>CMP-2068</t>
  </si>
  <si>
    <t>2026-08-31</t>
  </si>
  <si>
    <t>CMP-2060</t>
  </si>
  <si>
    <t>CMP-2084</t>
  </si>
  <si>
    <t>2026-09-01</t>
  </si>
  <si>
    <t>CMP-2012</t>
  </si>
  <si>
    <t>2026-09-04</t>
  </si>
  <si>
    <t>CMP-2139</t>
  </si>
  <si>
    <t>2026-09-05</t>
  </si>
  <si>
    <t>CMP-2105</t>
  </si>
  <si>
    <t>2026-09-06</t>
  </si>
  <si>
    <t>CMP-2062</t>
  </si>
  <si>
    <t>2026-09-07</t>
  </si>
  <si>
    <t>CMP-2015</t>
  </si>
  <si>
    <t>2026-09-09</t>
  </si>
  <si>
    <t>CMP-2138</t>
  </si>
  <si>
    <t>2026-09-10</t>
  </si>
  <si>
    <t>CMP-2027</t>
  </si>
  <si>
    <t>CMP-2021</t>
  </si>
  <si>
    <t>2026-09-11</t>
  </si>
  <si>
    <t>CMP-2089</t>
  </si>
  <si>
    <t>CMP-2069</t>
  </si>
  <si>
    <t>CMP-2013</t>
  </si>
  <si>
    <t>2026-09-12</t>
  </si>
  <si>
    <t>CMP-2001</t>
  </si>
  <si>
    <t>2026-09-13</t>
  </si>
  <si>
    <t>CMP-2072</t>
  </si>
  <si>
    <t>CMP-2078</t>
  </si>
  <si>
    <t>2026-09-15</t>
  </si>
  <si>
    <t>CMP-2014</t>
  </si>
  <si>
    <t>2026-09-16</t>
  </si>
  <si>
    <t>CMP-2111</t>
  </si>
  <si>
    <t>2026-09-17</t>
  </si>
  <si>
    <t>CMP-2032</t>
  </si>
  <si>
    <t>CMP-2145</t>
  </si>
  <si>
    <t>CMP-2031</t>
  </si>
  <si>
    <t>2026-09-18</t>
  </si>
  <si>
    <t>CMP-2058</t>
  </si>
  <si>
    <t>CMP-2119</t>
  </si>
  <si>
    <t>2026-09-19</t>
  </si>
  <si>
    <t>CMP-2120</t>
  </si>
  <si>
    <t>CMP-2115</t>
  </si>
  <si>
    <t>CMP-2132</t>
  </si>
  <si>
    <t>CMP-2150</t>
  </si>
  <si>
    <t>2026-09-20</t>
  </si>
  <si>
    <t>CMP-2109</t>
  </si>
  <si>
    <t>CMP-2082</t>
  </si>
  <si>
    <t>CMP-2036</t>
  </si>
  <si>
    <t>2026-09-21</t>
  </si>
  <si>
    <t>CMP-2022</t>
  </si>
  <si>
    <t>2026-09-23</t>
  </si>
  <si>
    <t>CMP-2049</t>
  </si>
  <si>
    <t>CMP-2083</t>
  </si>
  <si>
    <t>2026-09-24</t>
  </si>
  <si>
    <t>CMP-2008</t>
  </si>
  <si>
    <t>CMP-2026</t>
  </si>
  <si>
    <t>CMP-2128</t>
  </si>
  <si>
    <t>CMP-2134</t>
  </si>
  <si>
    <t>2026-09-25</t>
  </si>
  <si>
    <t>CMP-2065</t>
  </si>
  <si>
    <t>CMP-2100</t>
  </si>
  <si>
    <t>2026-09-26</t>
  </si>
  <si>
    <t>CMP-2063</t>
  </si>
  <si>
    <t>2026-09-27</t>
  </si>
  <si>
    <t>CMP-2131</t>
  </si>
  <si>
    <t>CMP-2126</t>
  </si>
  <si>
    <t>2026-09-28</t>
  </si>
  <si>
    <t>CMP-2041</t>
  </si>
  <si>
    <t>CMP-2112</t>
  </si>
  <si>
    <t>CMP-2044</t>
  </si>
  <si>
    <t>2026-09-29</t>
  </si>
  <si>
    <t>CMP-2137</t>
  </si>
  <si>
    <t>CMP-2057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</si>
</sst>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"/>
  </numFmts>
  <fonts count="5">
    <font>
      <sz val="11.0"/>
      <color theme="1"/>
      <name val="Arial"/>
      <scheme val="minor"/>
    </font>
    <font>
      <b/>
      <sz val="16.0"/>
      <color rgb="FF003366"/>
      <name val="Arial"/>
      <scheme val="minor"/>
    </font>
    <font>
      <sz val="12.0"/>
      <color theme="1"/>
      <name val="Arial"/>
      <scheme val="minor"/>
    </font>
    <font>
      <color theme="1"/>
      <name val="Arial"/>
      <scheme val="minor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3" numFmtId="0" xfId="0" applyFill="1" applyFont="1"/>
    <xf borderId="0" fillId="0" fontId="4" numFmtId="164" xfId="0" applyFont="1" applyNumberFormat="1"/>
    <xf borderId="0" fillId="0" fontId="4" numFmtId="3" xfId="0" applyFont="1" applyNumberFormat="1"/>
    <xf borderId="0" fillId="2" fontId="3" numFmtId="0" xfId="0" applyAlignment="1" applyFont="1">
      <alignment readingOrder="0"/>
    </xf>
    <xf borderId="0" fillId="0" fontId="3" numFmtId="164" xfId="0" applyFont="1" applyNumberFormat="1"/>
    <xf borderId="0" fillId="0" fontId="3" numFmtId="3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3.75"/>
    <col customWidth="1" min="2" max="26" width="7.63"/>
  </cols>
  <sheetData>
    <row r="1">
      <c r="A1" s="1" t="s">
        <v>0</v>
      </c>
    </row>
    <row r="3">
      <c r="A3" s="2" t="s">
        <v>1</v>
      </c>
    </row>
    <row r="4">
      <c r="A4" s="2"/>
    </row>
    <row r="5">
      <c r="A5" s="2" t="s">
        <v>2</v>
      </c>
    </row>
    <row r="6">
      <c r="A6" s="2" t="s">
        <v>3</v>
      </c>
    </row>
    <row r="7">
      <c r="A7" s="2" t="s">
        <v>4</v>
      </c>
    </row>
    <row r="8">
      <c r="A8" s="2"/>
    </row>
    <row r="9">
      <c r="A9" s="2" t="s">
        <v>5</v>
      </c>
    </row>
    <row r="10">
      <c r="A10" s="2" t="s">
        <v>6</v>
      </c>
    </row>
    <row r="11">
      <c r="A11" s="2" t="s">
        <v>7</v>
      </c>
    </row>
    <row r="12">
      <c r="A12" s="2" t="s">
        <v>8</v>
      </c>
    </row>
    <row r="13">
      <c r="A13" s="2" t="s">
        <v>9</v>
      </c>
    </row>
    <row r="14">
      <c r="A14" s="2" t="s">
        <v>10</v>
      </c>
    </row>
    <row r="15">
      <c r="A15" s="2" t="s">
        <v>11</v>
      </c>
    </row>
    <row r="16">
      <c r="A16" s="2" t="s">
        <v>12</v>
      </c>
    </row>
    <row r="17">
      <c r="A17" s="2"/>
    </row>
    <row r="18">
      <c r="A18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1">
      <c r="A1" s="4" t="str">
        <f>IFERROR(__xludf.DUMMYFUNCTION("QUERY(DatosCrudos!A:G,""SELECT C, D, F WHERE D='Los 40'"",1)"),"Agencia")</f>
        <v>Agencia</v>
      </c>
      <c r="B1" s="4" t="str">
        <f>IFERROR(__xludf.DUMMYFUNCTION("""COMPUTED_VALUE"""),"Estacion")</f>
        <v>Estacion</v>
      </c>
      <c r="C1" s="4" t="str">
        <f>IFERROR(__xludf.DUMMYFUNCTION("""COMPUTED_VALUE"""),"Inversion_MXN")</f>
        <v>Inversion_MXN</v>
      </c>
      <c r="E1" s="4" t="str">
        <f>IFERROR(__xludf.DUMMYFUNCTION("QUERY(DatosCrudos!A:G, ""SELECT C, SUM(F) GROUP BY C"", 1)"),"Agencia")</f>
        <v>Agencia</v>
      </c>
      <c r="F1" s="7" t="str">
        <f>IFERROR(__xludf.DUMMYFUNCTION("""COMPUTED_VALUE"""),"sum Inversion_MXN")</f>
        <v>sum Inversion_MXN</v>
      </c>
      <c r="H1" s="4" t="str">
        <f>IFERROR(__xludf.DUMMYFUNCTION("QUERY(DatosCrudos!A:G, ""SELECT C, SUM(F) WHERE C IS NOT NULL GROUP BY C ORDER BY SUM(F) DESC"", 1)
"),"Agencia")</f>
        <v>Agencia</v>
      </c>
      <c r="I1" s="4" t="str">
        <f>IFERROR(__xludf.DUMMYFUNCTION("""COMPUTED_VALUE"""),"sum Inversion_MXN")</f>
        <v>sum Inversion_MXN</v>
      </c>
      <c r="K1" s="3" t="str">
        <f>IFERROR(__xludf.DUMMYFUNCTION("QUERY(DatosCrudos!A:G,""SELECT C, SUM(F)GROUP BY C"",1)"),"Agencia")</f>
        <v>Agencia</v>
      </c>
      <c r="L1" s="3" t="str">
        <f>IFERROR(__xludf.DUMMYFUNCTION("""COMPUTED_VALUE"""),"sum Inversion_MXN")</f>
        <v>sum Inversion_MXN</v>
      </c>
    </row>
    <row r="2">
      <c r="A2" s="3" t="str">
        <f>IFERROR(__xludf.DUMMYFUNCTION("""COMPUTED_VALUE"""),"Havas")</f>
        <v>Havas</v>
      </c>
      <c r="B2" s="3" t="str">
        <f>IFERROR(__xludf.DUMMYFUNCTION("""COMPUTED_VALUE"""),"Los 40")</f>
        <v>Los 40</v>
      </c>
      <c r="C2" s="8">
        <f>IFERROR(__xludf.DUMMYFUNCTION("""COMPUTED_VALUE"""),31000.0)</f>
        <v>31000</v>
      </c>
      <c r="E2" s="3"/>
      <c r="F2" s="3"/>
      <c r="H2" s="3" t="str">
        <f>IFERROR(__xludf.DUMMYFUNCTION("""COMPUTED_VALUE"""),"Dentsu")</f>
        <v>Dentsu</v>
      </c>
      <c r="I2" s="3">
        <f>IFERROR(__xludf.DUMMYFUNCTION("""COMPUTED_VALUE"""),2310000.0)</f>
        <v>2310000</v>
      </c>
      <c r="K2" s="3"/>
      <c r="L2" s="3"/>
    </row>
    <row r="3">
      <c r="A3" s="3" t="str">
        <f>IFERROR(__xludf.DUMMYFUNCTION("""COMPUTED_VALUE"""),"Publicis")</f>
        <v>Publicis</v>
      </c>
      <c r="B3" s="3" t="str">
        <f>IFERROR(__xludf.DUMMYFUNCTION("""COMPUTED_VALUE"""),"Los 40")</f>
        <v>Los 40</v>
      </c>
      <c r="C3" s="8">
        <f>IFERROR(__xludf.DUMMYFUNCTION("""COMPUTED_VALUE"""),100000.0)</f>
        <v>100000</v>
      </c>
      <c r="E3" s="3" t="str">
        <f>IFERROR(__xludf.DUMMYFUNCTION("""COMPUTED_VALUE"""),"Dentsu")</f>
        <v>Dentsu</v>
      </c>
      <c r="F3" s="3">
        <f>IFERROR(__xludf.DUMMYFUNCTION("""COMPUTED_VALUE"""),2310000.0)</f>
        <v>2310000</v>
      </c>
      <c r="H3" s="3" t="str">
        <f>IFERROR(__xludf.DUMMYFUNCTION("""COMPUTED_VALUE"""),"Mindshare")</f>
        <v>Mindshare</v>
      </c>
      <c r="I3" s="3">
        <f>IFERROR(__xludf.DUMMYFUNCTION("""COMPUTED_VALUE"""),2126000.0)</f>
        <v>2126000</v>
      </c>
      <c r="K3" s="3" t="str">
        <f>IFERROR(__xludf.DUMMYFUNCTION("""COMPUTED_VALUE"""),"Dentsu")</f>
        <v>Dentsu</v>
      </c>
      <c r="L3" s="3">
        <f>IFERROR(__xludf.DUMMYFUNCTION("""COMPUTED_VALUE"""),2310000.0)</f>
        <v>2310000</v>
      </c>
    </row>
    <row r="4">
      <c r="A4" s="3" t="str">
        <f>IFERROR(__xludf.DUMMYFUNCTION("""COMPUTED_VALUE"""),"Dentsu")</f>
        <v>Dentsu</v>
      </c>
      <c r="B4" s="3" t="str">
        <f>IFERROR(__xludf.DUMMYFUNCTION("""COMPUTED_VALUE"""),"Los 40")</f>
        <v>Los 40</v>
      </c>
      <c r="C4" s="8">
        <f>IFERROR(__xludf.DUMMYFUNCTION("""COMPUTED_VALUE"""),39000.0)</f>
        <v>39000</v>
      </c>
      <c r="E4" s="3" t="str">
        <f>IFERROR(__xludf.DUMMYFUNCTION("""COMPUTED_VALUE"""),"Havas")</f>
        <v>Havas</v>
      </c>
      <c r="F4" s="3">
        <f>IFERROR(__xludf.DUMMYFUNCTION("""COMPUTED_VALUE"""),1816000.0)</f>
        <v>1816000</v>
      </c>
      <c r="H4" s="3" t="str">
        <f>IFERROR(__xludf.DUMMYFUNCTION("""COMPUTED_VALUE"""),"Havas")</f>
        <v>Havas</v>
      </c>
      <c r="I4" s="3">
        <f>IFERROR(__xludf.DUMMYFUNCTION("""COMPUTED_VALUE"""),1816000.0)</f>
        <v>1816000</v>
      </c>
      <c r="K4" s="3" t="str">
        <f>IFERROR(__xludf.DUMMYFUNCTION("""COMPUTED_VALUE"""),"Havas")</f>
        <v>Havas</v>
      </c>
      <c r="L4" s="3">
        <f>IFERROR(__xludf.DUMMYFUNCTION("""COMPUTED_VALUE"""),1816000.0)</f>
        <v>1816000</v>
      </c>
    </row>
    <row r="5">
      <c r="A5" s="3" t="str">
        <f>IFERROR(__xludf.DUMMYFUNCTION("""COMPUTED_VALUE"""),"Mindshare")</f>
        <v>Mindshare</v>
      </c>
      <c r="B5" s="3" t="str">
        <f>IFERROR(__xludf.DUMMYFUNCTION("""COMPUTED_VALUE"""),"Los 40")</f>
        <v>Los 40</v>
      </c>
      <c r="C5" s="8">
        <f>IFERROR(__xludf.DUMMYFUNCTION("""COMPUTED_VALUE"""),43000.0)</f>
        <v>43000</v>
      </c>
      <c r="E5" s="3" t="str">
        <f>IFERROR(__xludf.DUMMYFUNCTION("""COMPUTED_VALUE"""),"Mindshare")</f>
        <v>Mindshare</v>
      </c>
      <c r="F5" s="3">
        <f>IFERROR(__xludf.DUMMYFUNCTION("""COMPUTED_VALUE"""),2126000.0)</f>
        <v>2126000</v>
      </c>
      <c r="H5" s="3" t="str">
        <f>IFERROR(__xludf.DUMMYFUNCTION("""COMPUTED_VALUE"""),"Omnicom")</f>
        <v>Omnicom</v>
      </c>
      <c r="I5" s="3">
        <f>IFERROR(__xludf.DUMMYFUNCTION("""COMPUTED_VALUE"""),1789000.0)</f>
        <v>1789000</v>
      </c>
      <c r="K5" s="3" t="str">
        <f>IFERROR(__xludf.DUMMYFUNCTION("""COMPUTED_VALUE"""),"Mindshare")</f>
        <v>Mindshare</v>
      </c>
      <c r="L5" s="3">
        <f>IFERROR(__xludf.DUMMYFUNCTION("""COMPUTED_VALUE"""),2126000.0)</f>
        <v>2126000</v>
      </c>
    </row>
    <row r="6">
      <c r="A6" s="3" t="str">
        <f>IFERROR(__xludf.DUMMYFUNCTION("""COMPUTED_VALUE"""),"Havas")</f>
        <v>Havas</v>
      </c>
      <c r="B6" s="3" t="str">
        <f>IFERROR(__xludf.DUMMYFUNCTION("""COMPUTED_VALUE"""),"Los 40")</f>
        <v>Los 40</v>
      </c>
      <c r="C6" s="8">
        <f>IFERROR(__xludf.DUMMYFUNCTION("""COMPUTED_VALUE"""),38000.0)</f>
        <v>38000</v>
      </c>
      <c r="E6" s="3" t="str">
        <f>IFERROR(__xludf.DUMMYFUNCTION("""COMPUTED_VALUE"""),"Omnicom")</f>
        <v>Omnicom</v>
      </c>
      <c r="F6" s="3">
        <f>IFERROR(__xludf.DUMMYFUNCTION("""COMPUTED_VALUE"""),1789000.0)</f>
        <v>1789000</v>
      </c>
      <c r="H6" s="3" t="str">
        <f>IFERROR(__xludf.DUMMYFUNCTION("""COMPUTED_VALUE"""),"Publicis")</f>
        <v>Publicis</v>
      </c>
      <c r="I6" s="3">
        <f>IFERROR(__xludf.DUMMYFUNCTION("""COMPUTED_VALUE"""),1751000.0)</f>
        <v>1751000</v>
      </c>
      <c r="K6" s="3" t="str">
        <f>IFERROR(__xludf.DUMMYFUNCTION("""COMPUTED_VALUE"""),"Omnicom")</f>
        <v>Omnicom</v>
      </c>
      <c r="L6" s="3">
        <f>IFERROR(__xludf.DUMMYFUNCTION("""COMPUTED_VALUE"""),1789000.0)</f>
        <v>1789000</v>
      </c>
    </row>
    <row r="7">
      <c r="A7" s="3" t="str">
        <f>IFERROR(__xludf.DUMMYFUNCTION("""COMPUTED_VALUE"""),"Dentsu")</f>
        <v>Dentsu</v>
      </c>
      <c r="B7" s="3" t="str">
        <f>IFERROR(__xludf.DUMMYFUNCTION("""COMPUTED_VALUE"""),"Los 40")</f>
        <v>Los 40</v>
      </c>
      <c r="C7" s="8">
        <f>IFERROR(__xludf.DUMMYFUNCTION("""COMPUTED_VALUE"""),82000.0)</f>
        <v>82000</v>
      </c>
      <c r="E7" s="3" t="str">
        <f>IFERROR(__xludf.DUMMYFUNCTION("""COMPUTED_VALUE"""),"Publicis")</f>
        <v>Publicis</v>
      </c>
      <c r="F7" s="3">
        <f>IFERROR(__xludf.DUMMYFUNCTION("""COMPUTED_VALUE"""),1751000.0)</f>
        <v>1751000</v>
      </c>
      <c r="K7" s="3" t="str">
        <f>IFERROR(__xludf.DUMMYFUNCTION("""COMPUTED_VALUE"""),"Publicis")</f>
        <v>Publicis</v>
      </c>
      <c r="L7" s="3">
        <f>IFERROR(__xludf.DUMMYFUNCTION("""COMPUTED_VALUE"""),1751000.0)</f>
        <v>1751000</v>
      </c>
    </row>
    <row r="8">
      <c r="A8" s="3" t="str">
        <f>IFERROR(__xludf.DUMMYFUNCTION("""COMPUTED_VALUE"""),"Omnicom")</f>
        <v>Omnicom</v>
      </c>
      <c r="B8" s="3" t="str">
        <f>IFERROR(__xludf.DUMMYFUNCTION("""COMPUTED_VALUE"""),"Los 40")</f>
        <v>Los 40</v>
      </c>
      <c r="C8" s="8">
        <f>IFERROR(__xludf.DUMMYFUNCTION("""COMPUTED_VALUE"""),32000.0)</f>
        <v>32000</v>
      </c>
    </row>
    <row r="9">
      <c r="A9" s="3" t="str">
        <f>IFERROR(__xludf.DUMMYFUNCTION("""COMPUTED_VALUE"""),"Havas")</f>
        <v>Havas</v>
      </c>
      <c r="B9" s="3" t="str">
        <f>IFERROR(__xludf.DUMMYFUNCTION("""COMPUTED_VALUE"""),"Los 40")</f>
        <v>Los 40</v>
      </c>
      <c r="C9" s="8">
        <f>IFERROR(__xludf.DUMMYFUNCTION("""COMPUTED_VALUE"""),78000.0)</f>
        <v>78000</v>
      </c>
    </row>
    <row r="10">
      <c r="A10" s="3" t="str">
        <f>IFERROR(__xludf.DUMMYFUNCTION("""COMPUTED_VALUE"""),"Dentsu")</f>
        <v>Dentsu</v>
      </c>
      <c r="B10" s="3" t="str">
        <f>IFERROR(__xludf.DUMMYFUNCTION("""COMPUTED_VALUE"""),"Los 40")</f>
        <v>Los 40</v>
      </c>
      <c r="C10" s="8">
        <f>IFERROR(__xludf.DUMMYFUNCTION("""COMPUTED_VALUE"""),90000.0)</f>
        <v>90000</v>
      </c>
    </row>
    <row r="11">
      <c r="A11" s="3" t="str">
        <f>IFERROR(__xludf.DUMMYFUNCTION("""COMPUTED_VALUE"""),"Dentsu")</f>
        <v>Dentsu</v>
      </c>
      <c r="B11" s="3" t="str">
        <f>IFERROR(__xludf.DUMMYFUNCTION("""COMPUTED_VALUE"""),"Los 40")</f>
        <v>Los 40</v>
      </c>
      <c r="C11" s="8">
        <f>IFERROR(__xludf.DUMMYFUNCTION("""COMPUTED_VALUE"""),77000.0)</f>
        <v>77000</v>
      </c>
    </row>
    <row r="12">
      <c r="A12" s="3" t="str">
        <f>IFERROR(__xludf.DUMMYFUNCTION("""COMPUTED_VALUE"""),"Publicis")</f>
        <v>Publicis</v>
      </c>
      <c r="B12" s="3" t="str">
        <f>IFERROR(__xludf.DUMMYFUNCTION("""COMPUTED_VALUE"""),"Los 40")</f>
        <v>Los 40</v>
      </c>
      <c r="C12" s="8">
        <f>IFERROR(__xludf.DUMMYFUNCTION("""COMPUTED_VALUE"""),67000.0)</f>
        <v>67000</v>
      </c>
      <c r="H12" s="3" t="str">
        <f>IFERROR(__xludf.DUMMYFUNCTION("QUERY(DatosCrudos!A:G, ""SELECT C, SUM(F), AVG(G) WHERE D = 'Los 40' AND C IS NOT NULL GROUP BY C ORDER BY SUM(F) DESC"", 1)
"),"Agencia")</f>
        <v>Agencia</v>
      </c>
      <c r="I12" s="3" t="str">
        <f>IFERROR(__xludf.DUMMYFUNCTION("""COMPUTED_VALUE"""),"sum Inversion_MXN")</f>
        <v>sum Inversion_MXN</v>
      </c>
      <c r="J12" s="3" t="str">
        <f>IFERROR(__xludf.DUMMYFUNCTION("""COMPUTED_VALUE"""),"avg Impactos")</f>
        <v>avg Impactos</v>
      </c>
    </row>
    <row r="13">
      <c r="A13" s="3" t="str">
        <f>IFERROR(__xludf.DUMMYFUNCTION("""COMPUTED_VALUE"""),"Dentsu")</f>
        <v>Dentsu</v>
      </c>
      <c r="B13" s="3" t="str">
        <f>IFERROR(__xludf.DUMMYFUNCTION("""COMPUTED_VALUE"""),"Los 40")</f>
        <v>Los 40</v>
      </c>
      <c r="C13" s="8">
        <f>IFERROR(__xludf.DUMMYFUNCTION("""COMPUTED_VALUE"""),113000.0)</f>
        <v>113000</v>
      </c>
      <c r="H13" s="3" t="str">
        <f>IFERROR(__xludf.DUMMYFUNCTION("""COMPUTED_VALUE"""),"Havas")</f>
        <v>Havas</v>
      </c>
      <c r="I13" s="3">
        <f>IFERROR(__xludf.DUMMYFUNCTION("""COMPUTED_VALUE"""),565000.0)</f>
        <v>565000</v>
      </c>
      <c r="J13" s="9">
        <f>IFERROR(__xludf.DUMMYFUNCTION("""COMPUTED_VALUE"""),104755.6)</f>
        <v>104755.6</v>
      </c>
    </row>
    <row r="14">
      <c r="A14" s="3" t="str">
        <f>IFERROR(__xludf.DUMMYFUNCTION("""COMPUTED_VALUE"""),"Omnicom")</f>
        <v>Omnicom</v>
      </c>
      <c r="B14" s="3" t="str">
        <f>IFERROR(__xludf.DUMMYFUNCTION("""COMPUTED_VALUE"""),"Los 40")</f>
        <v>Los 40</v>
      </c>
      <c r="C14" s="8">
        <f>IFERROR(__xludf.DUMMYFUNCTION("""COMPUTED_VALUE"""),32000.0)</f>
        <v>32000</v>
      </c>
      <c r="H14" s="3" t="str">
        <f>IFERROR(__xludf.DUMMYFUNCTION("""COMPUTED_VALUE"""),"Mindshare")</f>
        <v>Mindshare</v>
      </c>
      <c r="I14" s="3">
        <f>IFERROR(__xludf.DUMMYFUNCTION("""COMPUTED_VALUE"""),554000.0)</f>
        <v>554000</v>
      </c>
      <c r="J14" s="9">
        <f>IFERROR(__xludf.DUMMYFUNCTION("""COMPUTED_VALUE"""),159435.14285714287)</f>
        <v>159435.1429</v>
      </c>
    </row>
    <row r="15">
      <c r="A15" s="3" t="str">
        <f>IFERROR(__xludf.DUMMYFUNCTION("""COMPUTED_VALUE"""),"Mindshare")</f>
        <v>Mindshare</v>
      </c>
      <c r="B15" s="3" t="str">
        <f>IFERROR(__xludf.DUMMYFUNCTION("""COMPUTED_VALUE"""),"Los 40")</f>
        <v>Los 40</v>
      </c>
      <c r="C15" s="8">
        <f>IFERROR(__xludf.DUMMYFUNCTION("""COMPUTED_VALUE"""),92000.0)</f>
        <v>92000</v>
      </c>
      <c r="H15" s="3" t="str">
        <f>IFERROR(__xludf.DUMMYFUNCTION("""COMPUTED_VALUE"""),"Dentsu")</f>
        <v>Dentsu</v>
      </c>
      <c r="I15" s="3">
        <f>IFERROR(__xludf.DUMMYFUNCTION("""COMPUTED_VALUE"""),535000.0)</f>
        <v>535000</v>
      </c>
      <c r="J15" s="9">
        <f>IFERROR(__xludf.DUMMYFUNCTION("""COMPUTED_VALUE"""),151674.85714285713)</f>
        <v>151674.8571</v>
      </c>
    </row>
    <row r="16">
      <c r="A16" s="3" t="str">
        <f>IFERROR(__xludf.DUMMYFUNCTION("""COMPUTED_VALUE"""),"Omnicom")</f>
        <v>Omnicom</v>
      </c>
      <c r="B16" s="3" t="str">
        <f>IFERROR(__xludf.DUMMYFUNCTION("""COMPUTED_VALUE"""),"Los 40")</f>
        <v>Los 40</v>
      </c>
      <c r="C16" s="8">
        <f>IFERROR(__xludf.DUMMYFUNCTION("""COMPUTED_VALUE"""),35000.0)</f>
        <v>35000</v>
      </c>
      <c r="H16" s="3" t="str">
        <f>IFERROR(__xludf.DUMMYFUNCTION("""COMPUTED_VALUE"""),"Publicis")</f>
        <v>Publicis</v>
      </c>
      <c r="I16" s="3">
        <f>IFERROR(__xludf.DUMMYFUNCTION("""COMPUTED_VALUE"""),367000.0)</f>
        <v>367000</v>
      </c>
      <c r="J16" s="9">
        <f>IFERROR(__xludf.DUMMYFUNCTION("""COMPUTED_VALUE"""),129066.8)</f>
        <v>129066.8</v>
      </c>
    </row>
    <row r="17">
      <c r="A17" s="3" t="str">
        <f>IFERROR(__xludf.DUMMYFUNCTION("""COMPUTED_VALUE"""),"Dentsu")</f>
        <v>Dentsu</v>
      </c>
      <c r="B17" s="3" t="str">
        <f>IFERROR(__xludf.DUMMYFUNCTION("""COMPUTED_VALUE"""),"Los 40")</f>
        <v>Los 40</v>
      </c>
      <c r="C17" s="8">
        <f>IFERROR(__xludf.DUMMYFUNCTION("""COMPUTED_VALUE"""),47000.0)</f>
        <v>47000</v>
      </c>
      <c r="H17" s="3" t="str">
        <f>IFERROR(__xludf.DUMMYFUNCTION("""COMPUTED_VALUE"""),"Omnicom")</f>
        <v>Omnicom</v>
      </c>
      <c r="I17" s="3">
        <f>IFERROR(__xludf.DUMMYFUNCTION("""COMPUTED_VALUE"""),245000.0)</f>
        <v>245000</v>
      </c>
      <c r="J17" s="9">
        <f>IFERROR(__xludf.DUMMYFUNCTION("""COMPUTED_VALUE"""),67600.71428571429)</f>
        <v>67600.71429</v>
      </c>
    </row>
    <row r="18">
      <c r="A18" s="3" t="str">
        <f>IFERROR(__xludf.DUMMYFUNCTION("""COMPUTED_VALUE"""),"Havas")</f>
        <v>Havas</v>
      </c>
      <c r="B18" s="3" t="str">
        <f>IFERROR(__xludf.DUMMYFUNCTION("""COMPUTED_VALUE"""),"Los 40")</f>
        <v>Los 40</v>
      </c>
      <c r="C18" s="8">
        <f>IFERROR(__xludf.DUMMYFUNCTION("""COMPUTED_VALUE"""),17000.0)</f>
        <v>17000</v>
      </c>
      <c r="J18" s="9"/>
    </row>
    <row r="19">
      <c r="A19" s="3" t="str">
        <f>IFERROR(__xludf.DUMMYFUNCTION("""COMPUTED_VALUE"""),"Mindshare")</f>
        <v>Mindshare</v>
      </c>
      <c r="B19" s="3" t="str">
        <f>IFERROR(__xludf.DUMMYFUNCTION("""COMPUTED_VALUE"""),"Los 40")</f>
        <v>Los 40</v>
      </c>
      <c r="C19" s="8">
        <f>IFERROR(__xludf.DUMMYFUNCTION("""COMPUTED_VALUE"""),78000.0)</f>
        <v>78000</v>
      </c>
    </row>
    <row r="20">
      <c r="A20" s="3" t="str">
        <f>IFERROR(__xludf.DUMMYFUNCTION("""COMPUTED_VALUE"""),"Havas")</f>
        <v>Havas</v>
      </c>
      <c r="B20" s="3" t="str">
        <f>IFERROR(__xludf.DUMMYFUNCTION("""COMPUTED_VALUE"""),"Los 40")</f>
        <v>Los 40</v>
      </c>
      <c r="C20" s="8">
        <f>IFERROR(__xludf.DUMMYFUNCTION("""COMPUTED_VALUE"""),104000.0)</f>
        <v>104000</v>
      </c>
    </row>
    <row r="21">
      <c r="A21" s="3" t="str">
        <f>IFERROR(__xludf.DUMMYFUNCTION("""COMPUTED_VALUE"""),"Omnicom")</f>
        <v>Omnicom</v>
      </c>
      <c r="B21" s="3" t="str">
        <f>IFERROR(__xludf.DUMMYFUNCTION("""COMPUTED_VALUE"""),"Los 40")</f>
        <v>Los 40</v>
      </c>
      <c r="C21" s="8">
        <f>IFERROR(__xludf.DUMMYFUNCTION("""COMPUTED_VALUE"""),53000.0)</f>
        <v>53000</v>
      </c>
    </row>
    <row r="22">
      <c r="A22" s="3" t="str">
        <f>IFERROR(__xludf.DUMMYFUNCTION("""COMPUTED_VALUE"""),"Mindshare")</f>
        <v>Mindshare</v>
      </c>
      <c r="B22" s="3" t="str">
        <f>IFERROR(__xludf.DUMMYFUNCTION("""COMPUTED_VALUE"""),"Los 40")</f>
        <v>Los 40</v>
      </c>
      <c r="C22" s="8">
        <f>IFERROR(__xludf.DUMMYFUNCTION("""COMPUTED_VALUE"""),103000.0)</f>
        <v>103000</v>
      </c>
    </row>
    <row r="23">
      <c r="A23" s="3" t="str">
        <f>IFERROR(__xludf.DUMMYFUNCTION("""COMPUTED_VALUE"""),"Omnicom")</f>
        <v>Omnicom</v>
      </c>
      <c r="B23" s="3" t="str">
        <f>IFERROR(__xludf.DUMMYFUNCTION("""COMPUTED_VALUE"""),"Los 40")</f>
        <v>Los 40</v>
      </c>
      <c r="C23" s="8">
        <f>IFERROR(__xludf.DUMMYFUNCTION("""COMPUTED_VALUE"""),33000.0)</f>
        <v>33000</v>
      </c>
    </row>
    <row r="24">
      <c r="A24" s="3" t="str">
        <f>IFERROR(__xludf.DUMMYFUNCTION("""COMPUTED_VALUE"""),"Dentsu")</f>
        <v>Dentsu</v>
      </c>
      <c r="B24" s="3" t="str">
        <f>IFERROR(__xludf.DUMMYFUNCTION("""COMPUTED_VALUE"""),"Los 40")</f>
        <v>Los 40</v>
      </c>
      <c r="C24" s="8">
        <f>IFERROR(__xludf.DUMMYFUNCTION("""COMPUTED_VALUE"""),87000.0)</f>
        <v>87000</v>
      </c>
    </row>
    <row r="25">
      <c r="A25" s="3" t="str">
        <f>IFERROR(__xludf.DUMMYFUNCTION("""COMPUTED_VALUE"""),"Omnicom")</f>
        <v>Omnicom</v>
      </c>
      <c r="B25" s="3" t="str">
        <f>IFERROR(__xludf.DUMMYFUNCTION("""COMPUTED_VALUE"""),"Los 40")</f>
        <v>Los 40</v>
      </c>
      <c r="C25" s="8">
        <f>IFERROR(__xludf.DUMMYFUNCTION("""COMPUTED_VALUE"""),22000.0)</f>
        <v>22000</v>
      </c>
    </row>
    <row r="26">
      <c r="A26" s="3" t="str">
        <f>IFERROR(__xludf.DUMMYFUNCTION("""COMPUTED_VALUE"""),"Mindshare")</f>
        <v>Mindshare</v>
      </c>
      <c r="B26" s="3" t="str">
        <f>IFERROR(__xludf.DUMMYFUNCTION("""COMPUTED_VALUE"""),"Los 40")</f>
        <v>Los 40</v>
      </c>
      <c r="C26" s="8">
        <f>IFERROR(__xludf.DUMMYFUNCTION("""COMPUTED_VALUE"""),57000.0)</f>
        <v>57000</v>
      </c>
    </row>
    <row r="27">
      <c r="A27" s="3" t="str">
        <f>IFERROR(__xludf.DUMMYFUNCTION("""COMPUTED_VALUE"""),"Mindshare")</f>
        <v>Mindshare</v>
      </c>
      <c r="B27" s="3" t="str">
        <f>IFERROR(__xludf.DUMMYFUNCTION("""COMPUTED_VALUE"""),"Los 40")</f>
        <v>Los 40</v>
      </c>
      <c r="C27" s="8">
        <f>IFERROR(__xludf.DUMMYFUNCTION("""COMPUTED_VALUE"""),118000.0)</f>
        <v>118000</v>
      </c>
    </row>
    <row r="28">
      <c r="A28" s="3" t="str">
        <f>IFERROR(__xludf.DUMMYFUNCTION("""COMPUTED_VALUE"""),"Havas")</f>
        <v>Havas</v>
      </c>
      <c r="B28" s="3" t="str">
        <f>IFERROR(__xludf.DUMMYFUNCTION("""COMPUTED_VALUE"""),"Los 40")</f>
        <v>Los 40</v>
      </c>
      <c r="C28" s="8">
        <f>IFERROR(__xludf.DUMMYFUNCTION("""COMPUTED_VALUE"""),25000.0)</f>
        <v>25000</v>
      </c>
    </row>
    <row r="29">
      <c r="A29" s="3" t="str">
        <f>IFERROR(__xludf.DUMMYFUNCTION("""COMPUTED_VALUE"""),"Publicis")</f>
        <v>Publicis</v>
      </c>
      <c r="B29" s="3" t="str">
        <f>IFERROR(__xludf.DUMMYFUNCTION("""COMPUTED_VALUE"""),"Los 40")</f>
        <v>Los 40</v>
      </c>
      <c r="C29" s="8">
        <f>IFERROR(__xludf.DUMMYFUNCTION("""COMPUTED_VALUE"""),34000.0)</f>
        <v>34000</v>
      </c>
    </row>
    <row r="30">
      <c r="A30" s="3" t="str">
        <f>IFERROR(__xludf.DUMMYFUNCTION("""COMPUTED_VALUE"""),"Havas")</f>
        <v>Havas</v>
      </c>
      <c r="B30" s="3" t="str">
        <f>IFERROR(__xludf.DUMMYFUNCTION("""COMPUTED_VALUE"""),"Los 40")</f>
        <v>Los 40</v>
      </c>
      <c r="C30" s="8">
        <f>IFERROR(__xludf.DUMMYFUNCTION("""COMPUTED_VALUE"""),100000.0)</f>
        <v>100000</v>
      </c>
    </row>
    <row r="31">
      <c r="A31" s="3" t="str">
        <f>IFERROR(__xludf.DUMMYFUNCTION("""COMPUTED_VALUE"""),"Havas")</f>
        <v>Havas</v>
      </c>
      <c r="B31" s="3" t="str">
        <f>IFERROR(__xludf.DUMMYFUNCTION("""COMPUTED_VALUE"""),"Los 40")</f>
        <v>Los 40</v>
      </c>
      <c r="C31" s="8">
        <f>IFERROR(__xludf.DUMMYFUNCTION("""COMPUTED_VALUE"""),15000.0)</f>
        <v>15000</v>
      </c>
    </row>
    <row r="32">
      <c r="A32" s="3" t="str">
        <f>IFERROR(__xludf.DUMMYFUNCTION("""COMPUTED_VALUE"""),"Publicis")</f>
        <v>Publicis</v>
      </c>
      <c r="B32" s="3" t="str">
        <f>IFERROR(__xludf.DUMMYFUNCTION("""COMPUTED_VALUE"""),"Los 40")</f>
        <v>Los 40</v>
      </c>
      <c r="C32" s="8">
        <f>IFERROR(__xludf.DUMMYFUNCTION("""COMPUTED_VALUE"""),116000.0)</f>
        <v>116000</v>
      </c>
    </row>
    <row r="33">
      <c r="A33" s="3" t="str">
        <f>IFERROR(__xludf.DUMMYFUNCTION("""COMPUTED_VALUE"""),"Havas")</f>
        <v>Havas</v>
      </c>
      <c r="B33" s="3" t="str">
        <f>IFERROR(__xludf.DUMMYFUNCTION("""COMPUTED_VALUE"""),"Los 40")</f>
        <v>Los 40</v>
      </c>
      <c r="C33" s="8">
        <f>IFERROR(__xludf.DUMMYFUNCTION("""COMPUTED_VALUE"""),76000.0)</f>
        <v>76000</v>
      </c>
    </row>
    <row r="34">
      <c r="A34" s="3" t="str">
        <f>IFERROR(__xludf.DUMMYFUNCTION("""COMPUTED_VALUE"""),"Omnicom")</f>
        <v>Omnicom</v>
      </c>
      <c r="B34" s="3" t="str">
        <f>IFERROR(__xludf.DUMMYFUNCTION("""COMPUTED_VALUE"""),"Los 40")</f>
        <v>Los 40</v>
      </c>
      <c r="C34" s="8">
        <f>IFERROR(__xludf.DUMMYFUNCTION("""COMPUTED_VALUE"""),38000.0)</f>
        <v>38000</v>
      </c>
    </row>
    <row r="35">
      <c r="A35" s="3" t="str">
        <f>IFERROR(__xludf.DUMMYFUNCTION("""COMPUTED_VALUE"""),"Publicis")</f>
        <v>Publicis</v>
      </c>
      <c r="B35" s="3" t="str">
        <f>IFERROR(__xludf.DUMMYFUNCTION("""COMPUTED_VALUE"""),"Los 40")</f>
        <v>Los 40</v>
      </c>
      <c r="C35" s="8">
        <f>IFERROR(__xludf.DUMMYFUNCTION("""COMPUTED_VALUE"""),50000.0)</f>
        <v>50000</v>
      </c>
    </row>
    <row r="36">
      <c r="A36" s="3" t="str">
        <f>IFERROR(__xludf.DUMMYFUNCTION("""COMPUTED_VALUE"""),"Mindshare")</f>
        <v>Mindshare</v>
      </c>
      <c r="B36" s="3" t="str">
        <f>IFERROR(__xludf.DUMMYFUNCTION("""COMPUTED_VALUE"""),"Los 40")</f>
        <v>Los 40</v>
      </c>
      <c r="C36" s="8">
        <f>IFERROR(__xludf.DUMMYFUNCTION("""COMPUTED_VALUE"""),63000.0)</f>
        <v>63000</v>
      </c>
    </row>
    <row r="37">
      <c r="A37" s="3" t="str">
        <f>IFERROR(__xludf.DUMMYFUNCTION("""COMPUTED_VALUE"""),"Havas")</f>
        <v>Havas</v>
      </c>
      <c r="B37" s="3" t="str">
        <f>IFERROR(__xludf.DUMMYFUNCTION("""COMPUTED_VALUE"""),"Los 40")</f>
        <v>Los 40</v>
      </c>
      <c r="C37" s="8">
        <f>IFERROR(__xludf.DUMMYFUNCTION("""COMPUTED_VALUE"""),81000.0)</f>
        <v>81000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7" width="15.75"/>
    <col customWidth="1" min="8" max="26" width="7.63"/>
  </cols>
  <sheetData>
    <row r="1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>
      <c r="A2" s="3" t="s">
        <v>20</v>
      </c>
      <c r="B2" s="3" t="s">
        <v>21</v>
      </c>
      <c r="C2" s="3" t="s">
        <v>22</v>
      </c>
      <c r="D2" s="3" t="s">
        <v>23</v>
      </c>
      <c r="E2" s="3" t="s">
        <v>24</v>
      </c>
      <c r="F2" s="5">
        <v>24000.0</v>
      </c>
      <c r="G2" s="6">
        <v>56146.0</v>
      </c>
    </row>
    <row r="3">
      <c r="A3" s="3" t="s">
        <v>25</v>
      </c>
      <c r="B3" s="3" t="s">
        <v>21</v>
      </c>
      <c r="C3" s="3" t="s">
        <v>26</v>
      </c>
      <c r="D3" s="3" t="s">
        <v>27</v>
      </c>
      <c r="E3" s="3" t="s">
        <v>28</v>
      </c>
      <c r="F3" s="5">
        <v>31000.0</v>
      </c>
      <c r="G3" s="6">
        <v>41620.0</v>
      </c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5">
        <v>29000.0</v>
      </c>
      <c r="G4" s="6">
        <v>38012.0</v>
      </c>
    </row>
    <row r="5">
      <c r="A5" s="3" t="s">
        <v>34</v>
      </c>
      <c r="B5" s="3" t="s">
        <v>30</v>
      </c>
      <c r="C5" s="3" t="s">
        <v>26</v>
      </c>
      <c r="D5" s="3" t="s">
        <v>32</v>
      </c>
      <c r="E5" s="3" t="s">
        <v>24</v>
      </c>
      <c r="F5" s="5">
        <v>64000.0</v>
      </c>
      <c r="G5" s="6">
        <v>80417.0</v>
      </c>
    </row>
    <row r="6">
      <c r="A6" s="3" t="s">
        <v>35</v>
      </c>
      <c r="B6" s="3" t="s">
        <v>36</v>
      </c>
      <c r="C6" s="3" t="s">
        <v>37</v>
      </c>
      <c r="D6" s="3" t="s">
        <v>27</v>
      </c>
      <c r="E6" s="3" t="s">
        <v>28</v>
      </c>
      <c r="F6" s="5">
        <v>100000.0</v>
      </c>
      <c r="G6" s="6">
        <v>206939.0</v>
      </c>
    </row>
    <row r="7">
      <c r="A7" s="3" t="s">
        <v>38</v>
      </c>
      <c r="B7" s="3" t="s">
        <v>36</v>
      </c>
      <c r="C7" s="3" t="s">
        <v>31</v>
      </c>
      <c r="D7" s="3" t="s">
        <v>32</v>
      </c>
      <c r="E7" s="3" t="s">
        <v>39</v>
      </c>
      <c r="F7" s="5">
        <v>91000.0</v>
      </c>
      <c r="G7" s="6">
        <v>142637.0</v>
      </c>
    </row>
    <row r="8">
      <c r="A8" s="3" t="s">
        <v>40</v>
      </c>
      <c r="B8" s="3" t="s">
        <v>36</v>
      </c>
      <c r="C8" s="3" t="s">
        <v>31</v>
      </c>
      <c r="D8" s="3" t="s">
        <v>41</v>
      </c>
      <c r="E8" s="3" t="s">
        <v>24</v>
      </c>
      <c r="F8" s="5">
        <v>43000.0</v>
      </c>
      <c r="G8" s="6">
        <v>69024.0</v>
      </c>
    </row>
    <row r="9">
      <c r="A9" s="3" t="s">
        <v>42</v>
      </c>
      <c r="B9" s="3" t="s">
        <v>43</v>
      </c>
      <c r="C9" s="3" t="s">
        <v>31</v>
      </c>
      <c r="D9" s="3" t="s">
        <v>41</v>
      </c>
      <c r="E9" s="3" t="s">
        <v>33</v>
      </c>
      <c r="F9" s="5">
        <v>96000.0</v>
      </c>
      <c r="G9" s="6">
        <v>135082.0</v>
      </c>
    </row>
    <row r="10">
      <c r="A10" s="3" t="s">
        <v>44</v>
      </c>
      <c r="B10" s="3" t="s">
        <v>45</v>
      </c>
      <c r="C10" s="3" t="s">
        <v>46</v>
      </c>
      <c r="D10" s="3" t="s">
        <v>27</v>
      </c>
      <c r="E10" s="3" t="s">
        <v>33</v>
      </c>
      <c r="F10" s="5">
        <v>39000.0</v>
      </c>
      <c r="G10" s="6">
        <v>71319.0</v>
      </c>
    </row>
    <row r="11">
      <c r="A11" s="3" t="s">
        <v>47</v>
      </c>
      <c r="B11" s="3" t="s">
        <v>45</v>
      </c>
      <c r="C11" s="3" t="s">
        <v>37</v>
      </c>
      <c r="D11" s="3" t="s">
        <v>23</v>
      </c>
      <c r="E11" s="3" t="s">
        <v>39</v>
      </c>
      <c r="F11" s="5">
        <v>66000.0</v>
      </c>
      <c r="G11" s="6">
        <v>143883.0</v>
      </c>
    </row>
    <row r="12">
      <c r="A12" s="3" t="s">
        <v>48</v>
      </c>
      <c r="B12" s="3" t="s">
        <v>49</v>
      </c>
      <c r="C12" s="3" t="s">
        <v>46</v>
      </c>
      <c r="D12" s="3" t="s">
        <v>32</v>
      </c>
      <c r="E12" s="3" t="s">
        <v>33</v>
      </c>
      <c r="F12" s="5">
        <v>50000.0</v>
      </c>
      <c r="G12" s="6">
        <v>99035.0</v>
      </c>
    </row>
    <row r="13">
      <c r="A13" s="3" t="s">
        <v>50</v>
      </c>
      <c r="B13" s="3" t="s">
        <v>49</v>
      </c>
      <c r="C13" s="3" t="s">
        <v>46</v>
      </c>
      <c r="D13" s="3" t="s">
        <v>41</v>
      </c>
      <c r="E13" s="3" t="s">
        <v>28</v>
      </c>
      <c r="F13" s="5">
        <v>71000.0</v>
      </c>
      <c r="G13" s="6">
        <v>146733.0</v>
      </c>
    </row>
    <row r="14">
      <c r="A14" s="3" t="s">
        <v>51</v>
      </c>
      <c r="B14" s="3" t="s">
        <v>52</v>
      </c>
      <c r="C14" s="3" t="s">
        <v>31</v>
      </c>
      <c r="D14" s="3" t="s">
        <v>23</v>
      </c>
      <c r="E14" s="3" t="s">
        <v>28</v>
      </c>
      <c r="F14" s="5">
        <v>70000.0</v>
      </c>
      <c r="G14" s="6">
        <v>142451.0</v>
      </c>
    </row>
    <row r="15">
      <c r="A15" s="3" t="s">
        <v>53</v>
      </c>
      <c r="B15" s="3" t="s">
        <v>52</v>
      </c>
      <c r="C15" s="3" t="s">
        <v>37</v>
      </c>
      <c r="D15" s="3" t="s">
        <v>23</v>
      </c>
      <c r="E15" s="3" t="s">
        <v>33</v>
      </c>
      <c r="F15" s="5">
        <v>68000.0</v>
      </c>
      <c r="G15" s="6">
        <v>140135.0</v>
      </c>
    </row>
    <row r="16">
      <c r="A16" s="3" t="s">
        <v>54</v>
      </c>
      <c r="B16" s="3" t="s">
        <v>52</v>
      </c>
      <c r="C16" s="3" t="s">
        <v>31</v>
      </c>
      <c r="D16" s="3" t="s">
        <v>23</v>
      </c>
      <c r="E16" s="3" t="s">
        <v>28</v>
      </c>
      <c r="F16" s="5">
        <v>31000.0</v>
      </c>
      <c r="G16" s="6">
        <v>56901.0</v>
      </c>
    </row>
    <row r="17">
      <c r="A17" s="3" t="s">
        <v>55</v>
      </c>
      <c r="B17" s="3" t="s">
        <v>56</v>
      </c>
      <c r="C17" s="3" t="s">
        <v>22</v>
      </c>
      <c r="D17" s="3" t="s">
        <v>23</v>
      </c>
      <c r="E17" s="3" t="s">
        <v>28</v>
      </c>
      <c r="F17" s="5">
        <v>63000.0</v>
      </c>
      <c r="G17" s="6">
        <v>100157.0</v>
      </c>
    </row>
    <row r="18">
      <c r="A18" s="3" t="s">
        <v>57</v>
      </c>
      <c r="B18" s="3" t="s">
        <v>58</v>
      </c>
      <c r="C18" s="3" t="s">
        <v>22</v>
      </c>
      <c r="D18" s="3" t="s">
        <v>27</v>
      </c>
      <c r="E18" s="3" t="s">
        <v>28</v>
      </c>
      <c r="F18" s="5">
        <v>43000.0</v>
      </c>
      <c r="G18" s="6">
        <v>69752.0</v>
      </c>
    </row>
    <row r="19">
      <c r="A19" s="3" t="s">
        <v>59</v>
      </c>
      <c r="B19" s="3" t="s">
        <v>60</v>
      </c>
      <c r="C19" s="3" t="s">
        <v>31</v>
      </c>
      <c r="D19" s="3" t="s">
        <v>23</v>
      </c>
      <c r="E19" s="3" t="s">
        <v>39</v>
      </c>
      <c r="F19" s="5">
        <v>48000.0</v>
      </c>
      <c r="G19" s="6">
        <v>105667.0</v>
      </c>
    </row>
    <row r="20">
      <c r="A20" s="3" t="s">
        <v>61</v>
      </c>
      <c r="B20" s="3" t="s">
        <v>62</v>
      </c>
      <c r="C20" s="3" t="s">
        <v>37</v>
      </c>
      <c r="D20" s="3" t="s">
        <v>41</v>
      </c>
      <c r="E20" s="3" t="s">
        <v>33</v>
      </c>
      <c r="F20" s="5">
        <v>75000.0</v>
      </c>
      <c r="G20" s="6">
        <v>166662.0</v>
      </c>
    </row>
    <row r="21" ht="15.75" customHeight="1">
      <c r="A21" s="3" t="s">
        <v>63</v>
      </c>
      <c r="B21" s="3" t="s">
        <v>64</v>
      </c>
      <c r="C21" s="3" t="s">
        <v>26</v>
      </c>
      <c r="D21" s="3" t="s">
        <v>41</v>
      </c>
      <c r="E21" s="3" t="s">
        <v>33</v>
      </c>
      <c r="F21" s="5">
        <v>36000.0</v>
      </c>
      <c r="G21" s="6">
        <v>77047.0</v>
      </c>
    </row>
    <row r="22" ht="15.75" customHeight="1">
      <c r="A22" s="3" t="s">
        <v>65</v>
      </c>
      <c r="B22" s="3" t="s">
        <v>64</v>
      </c>
      <c r="C22" s="3" t="s">
        <v>22</v>
      </c>
      <c r="D22" s="3" t="s">
        <v>41</v>
      </c>
      <c r="E22" s="3" t="s">
        <v>28</v>
      </c>
      <c r="F22" s="5">
        <v>76000.0</v>
      </c>
      <c r="G22" s="6">
        <v>122616.0</v>
      </c>
    </row>
    <row r="23" ht="15.75" customHeight="1">
      <c r="A23" s="3" t="s">
        <v>66</v>
      </c>
      <c r="B23" s="3" t="s">
        <v>67</v>
      </c>
      <c r="C23" s="3" t="s">
        <v>26</v>
      </c>
      <c r="D23" s="3" t="s">
        <v>27</v>
      </c>
      <c r="E23" s="3" t="s">
        <v>24</v>
      </c>
      <c r="F23" s="5">
        <v>38000.0</v>
      </c>
      <c r="G23" s="6">
        <v>89326.0</v>
      </c>
    </row>
    <row r="24" ht="15.75" customHeight="1">
      <c r="A24" s="3" t="s">
        <v>68</v>
      </c>
      <c r="B24" s="3" t="s">
        <v>69</v>
      </c>
      <c r="C24" s="3" t="s">
        <v>37</v>
      </c>
      <c r="D24" s="3" t="s">
        <v>41</v>
      </c>
      <c r="E24" s="3" t="s">
        <v>33</v>
      </c>
      <c r="F24" s="5">
        <v>106000.0</v>
      </c>
      <c r="G24" s="6">
        <v>174397.0</v>
      </c>
    </row>
    <row r="25" ht="15.75" customHeight="1">
      <c r="A25" s="3" t="s">
        <v>70</v>
      </c>
      <c r="B25" s="3" t="s">
        <v>71</v>
      </c>
      <c r="C25" s="3" t="s">
        <v>37</v>
      </c>
      <c r="D25" s="3" t="s">
        <v>23</v>
      </c>
      <c r="E25" s="3" t="s">
        <v>28</v>
      </c>
      <c r="F25" s="5">
        <v>27000.0</v>
      </c>
      <c r="G25" s="6">
        <v>54210.0</v>
      </c>
    </row>
    <row r="26" ht="15.75" customHeight="1">
      <c r="A26" s="3" t="s">
        <v>72</v>
      </c>
      <c r="B26" s="3" t="s">
        <v>73</v>
      </c>
      <c r="C26" s="3" t="s">
        <v>26</v>
      </c>
      <c r="D26" s="3" t="s">
        <v>23</v>
      </c>
      <c r="E26" s="3" t="s">
        <v>39</v>
      </c>
      <c r="F26" s="5">
        <v>18000.0</v>
      </c>
      <c r="G26" s="6">
        <v>32068.0</v>
      </c>
    </row>
    <row r="27" ht="15.75" customHeight="1">
      <c r="A27" s="3" t="s">
        <v>74</v>
      </c>
      <c r="B27" s="3" t="s">
        <v>73</v>
      </c>
      <c r="C27" s="3" t="s">
        <v>22</v>
      </c>
      <c r="D27" s="3" t="s">
        <v>32</v>
      </c>
      <c r="E27" s="3" t="s">
        <v>24</v>
      </c>
      <c r="F27" s="5">
        <v>82000.0</v>
      </c>
      <c r="G27" s="6">
        <v>144853.0</v>
      </c>
    </row>
    <row r="28" ht="15.75" customHeight="1">
      <c r="A28" s="3" t="s">
        <v>75</v>
      </c>
      <c r="B28" s="3" t="s">
        <v>76</v>
      </c>
      <c r="C28" s="3" t="s">
        <v>22</v>
      </c>
      <c r="D28" s="3" t="s">
        <v>32</v>
      </c>
      <c r="E28" s="3" t="s">
        <v>33</v>
      </c>
      <c r="F28" s="5">
        <v>50000.0</v>
      </c>
      <c r="G28" s="6">
        <v>64273.0</v>
      </c>
    </row>
    <row r="29" ht="15.75" customHeight="1">
      <c r="A29" s="3" t="s">
        <v>77</v>
      </c>
      <c r="B29" s="3" t="s">
        <v>76</v>
      </c>
      <c r="C29" s="3" t="s">
        <v>37</v>
      </c>
      <c r="D29" s="3" t="s">
        <v>41</v>
      </c>
      <c r="E29" s="3" t="s">
        <v>28</v>
      </c>
      <c r="F29" s="5">
        <v>36000.0</v>
      </c>
      <c r="G29" s="6">
        <v>66527.0</v>
      </c>
    </row>
    <row r="30" ht="15.75" customHeight="1">
      <c r="A30" s="3" t="s">
        <v>78</v>
      </c>
      <c r="B30" s="3" t="s">
        <v>79</v>
      </c>
      <c r="C30" s="3" t="s">
        <v>26</v>
      </c>
      <c r="D30" s="3" t="s">
        <v>32</v>
      </c>
      <c r="E30" s="3" t="s">
        <v>24</v>
      </c>
      <c r="F30" s="5">
        <v>38000.0</v>
      </c>
      <c r="G30" s="6">
        <v>50813.0</v>
      </c>
    </row>
    <row r="31" ht="15.75" customHeight="1">
      <c r="A31" s="3" t="s">
        <v>80</v>
      </c>
      <c r="B31" s="3" t="s">
        <v>79</v>
      </c>
      <c r="C31" s="3" t="s">
        <v>46</v>
      </c>
      <c r="D31" s="3" t="s">
        <v>41</v>
      </c>
      <c r="E31" s="3" t="s">
        <v>33</v>
      </c>
      <c r="F31" s="5">
        <v>110000.0</v>
      </c>
      <c r="G31" s="6">
        <v>186406.0</v>
      </c>
    </row>
    <row r="32" ht="15.75" customHeight="1">
      <c r="A32" s="3" t="s">
        <v>81</v>
      </c>
      <c r="B32" s="3" t="s">
        <v>79</v>
      </c>
      <c r="C32" s="3" t="s">
        <v>46</v>
      </c>
      <c r="D32" s="3" t="s">
        <v>27</v>
      </c>
      <c r="E32" s="3" t="s">
        <v>39</v>
      </c>
      <c r="F32" s="5">
        <v>82000.0</v>
      </c>
      <c r="G32" s="6">
        <v>158832.0</v>
      </c>
    </row>
    <row r="33" ht="15.75" customHeight="1">
      <c r="A33" s="3" t="s">
        <v>82</v>
      </c>
      <c r="B33" s="3" t="s">
        <v>79</v>
      </c>
      <c r="C33" s="3" t="s">
        <v>31</v>
      </c>
      <c r="D33" s="3" t="s">
        <v>27</v>
      </c>
      <c r="E33" s="3" t="s">
        <v>28</v>
      </c>
      <c r="F33" s="5">
        <v>32000.0</v>
      </c>
      <c r="G33" s="6">
        <v>39973.0</v>
      </c>
    </row>
    <row r="34" ht="15.75" customHeight="1">
      <c r="A34" s="3" t="s">
        <v>83</v>
      </c>
      <c r="B34" s="3" t="s">
        <v>84</v>
      </c>
      <c r="C34" s="3" t="s">
        <v>37</v>
      </c>
      <c r="D34" s="3" t="s">
        <v>32</v>
      </c>
      <c r="E34" s="3" t="s">
        <v>28</v>
      </c>
      <c r="F34" s="5">
        <v>39000.0</v>
      </c>
      <c r="G34" s="6">
        <v>91613.0</v>
      </c>
    </row>
    <row r="35" ht="15.75" customHeight="1">
      <c r="A35" s="3" t="s">
        <v>85</v>
      </c>
      <c r="B35" s="3" t="s">
        <v>86</v>
      </c>
      <c r="C35" s="3" t="s">
        <v>22</v>
      </c>
      <c r="D35" s="3" t="s">
        <v>23</v>
      </c>
      <c r="E35" s="3" t="s">
        <v>28</v>
      </c>
      <c r="F35" s="5">
        <v>93000.0</v>
      </c>
      <c r="G35" s="6">
        <v>167071.0</v>
      </c>
    </row>
    <row r="36" ht="15.75" customHeight="1">
      <c r="A36" s="3" t="s">
        <v>87</v>
      </c>
      <c r="B36" s="3" t="s">
        <v>86</v>
      </c>
      <c r="C36" s="3" t="s">
        <v>31</v>
      </c>
      <c r="D36" s="3" t="s">
        <v>41</v>
      </c>
      <c r="E36" s="3" t="s">
        <v>24</v>
      </c>
      <c r="F36" s="5">
        <v>37000.0</v>
      </c>
      <c r="G36" s="6">
        <v>88203.0</v>
      </c>
    </row>
    <row r="37" ht="15.75" customHeight="1">
      <c r="A37" s="3" t="s">
        <v>88</v>
      </c>
      <c r="B37" s="3" t="s">
        <v>89</v>
      </c>
      <c r="C37" s="3" t="s">
        <v>26</v>
      </c>
      <c r="D37" s="3" t="s">
        <v>27</v>
      </c>
      <c r="E37" s="3" t="s">
        <v>28</v>
      </c>
      <c r="F37" s="5">
        <v>78000.0</v>
      </c>
      <c r="G37" s="6">
        <v>187424.0</v>
      </c>
    </row>
    <row r="38" ht="15.75" customHeight="1">
      <c r="A38" s="3" t="s">
        <v>90</v>
      </c>
      <c r="B38" s="3" t="s">
        <v>91</v>
      </c>
      <c r="C38" s="3" t="s">
        <v>46</v>
      </c>
      <c r="D38" s="3" t="s">
        <v>27</v>
      </c>
      <c r="E38" s="3" t="s">
        <v>24</v>
      </c>
      <c r="F38" s="5">
        <v>90000.0</v>
      </c>
      <c r="G38" s="6">
        <v>169717.0</v>
      </c>
    </row>
    <row r="39" ht="15.75" customHeight="1">
      <c r="A39" s="3" t="s">
        <v>92</v>
      </c>
      <c r="B39" s="3" t="s">
        <v>91</v>
      </c>
      <c r="C39" s="3" t="s">
        <v>37</v>
      </c>
      <c r="D39" s="3" t="s">
        <v>23</v>
      </c>
      <c r="E39" s="3" t="s">
        <v>33</v>
      </c>
      <c r="F39" s="5">
        <v>76000.0</v>
      </c>
      <c r="G39" s="6">
        <v>140585.0</v>
      </c>
    </row>
    <row r="40" ht="15.75" customHeight="1">
      <c r="A40" s="3" t="s">
        <v>93</v>
      </c>
      <c r="B40" s="3" t="s">
        <v>94</v>
      </c>
      <c r="C40" s="3" t="s">
        <v>31</v>
      </c>
      <c r="D40" s="3" t="s">
        <v>41</v>
      </c>
      <c r="E40" s="3" t="s">
        <v>33</v>
      </c>
      <c r="F40" s="5">
        <v>24000.0</v>
      </c>
      <c r="G40" s="6">
        <v>59198.0</v>
      </c>
    </row>
    <row r="41" ht="15.75" customHeight="1">
      <c r="A41" s="3" t="s">
        <v>95</v>
      </c>
      <c r="B41" s="3" t="s">
        <v>94</v>
      </c>
      <c r="C41" s="3" t="s">
        <v>22</v>
      </c>
      <c r="D41" s="3" t="s">
        <v>23</v>
      </c>
      <c r="E41" s="3" t="s">
        <v>33</v>
      </c>
      <c r="F41" s="5">
        <v>22000.0</v>
      </c>
      <c r="G41" s="6">
        <v>33328.0</v>
      </c>
    </row>
    <row r="42" ht="15.75" customHeight="1">
      <c r="A42" s="3" t="s">
        <v>96</v>
      </c>
      <c r="B42" s="3" t="s">
        <v>97</v>
      </c>
      <c r="C42" s="3" t="s">
        <v>31</v>
      </c>
      <c r="D42" s="3" t="s">
        <v>23</v>
      </c>
      <c r="E42" s="3" t="s">
        <v>24</v>
      </c>
      <c r="F42" s="5">
        <v>68000.0</v>
      </c>
      <c r="G42" s="6">
        <v>161214.0</v>
      </c>
    </row>
    <row r="43" ht="15.75" customHeight="1">
      <c r="A43" s="3" t="s">
        <v>98</v>
      </c>
      <c r="B43" s="3" t="s">
        <v>99</v>
      </c>
      <c r="C43" s="3" t="s">
        <v>46</v>
      </c>
      <c r="D43" s="3" t="s">
        <v>27</v>
      </c>
      <c r="E43" s="3" t="s">
        <v>39</v>
      </c>
      <c r="F43" s="5">
        <v>77000.0</v>
      </c>
      <c r="G43" s="6">
        <v>161711.0</v>
      </c>
    </row>
    <row r="44" ht="15.75" customHeight="1">
      <c r="A44" s="3" t="s">
        <v>100</v>
      </c>
      <c r="B44" s="3" t="s">
        <v>99</v>
      </c>
      <c r="C44" s="3" t="s">
        <v>26</v>
      </c>
      <c r="D44" s="3" t="s">
        <v>32</v>
      </c>
      <c r="E44" s="3" t="s">
        <v>24</v>
      </c>
      <c r="F44" s="5">
        <v>47000.0</v>
      </c>
      <c r="G44" s="6">
        <v>68209.0</v>
      </c>
    </row>
    <row r="45" ht="15.75" customHeight="1">
      <c r="A45" s="3" t="s">
        <v>101</v>
      </c>
      <c r="B45" s="3" t="s">
        <v>102</v>
      </c>
      <c r="C45" s="3" t="s">
        <v>46</v>
      </c>
      <c r="D45" s="3" t="s">
        <v>23</v>
      </c>
      <c r="E45" s="3" t="s">
        <v>33</v>
      </c>
      <c r="F45" s="5">
        <v>33000.0</v>
      </c>
      <c r="G45" s="6">
        <v>68125.0</v>
      </c>
    </row>
    <row r="46" ht="15.75" customHeight="1">
      <c r="A46" s="3" t="s">
        <v>103</v>
      </c>
      <c r="B46" s="3" t="s">
        <v>102</v>
      </c>
      <c r="C46" s="3" t="s">
        <v>31</v>
      </c>
      <c r="D46" s="3" t="s">
        <v>23</v>
      </c>
      <c r="E46" s="3" t="s">
        <v>24</v>
      </c>
      <c r="F46" s="5">
        <v>51000.0</v>
      </c>
      <c r="G46" s="6">
        <v>103133.0</v>
      </c>
    </row>
    <row r="47" ht="15.75" customHeight="1">
      <c r="A47" s="3" t="s">
        <v>104</v>
      </c>
      <c r="B47" s="3" t="s">
        <v>102</v>
      </c>
      <c r="C47" s="3" t="s">
        <v>37</v>
      </c>
      <c r="D47" s="3" t="s">
        <v>23</v>
      </c>
      <c r="E47" s="3" t="s">
        <v>24</v>
      </c>
      <c r="F47" s="5">
        <v>54000.0</v>
      </c>
      <c r="G47" s="6">
        <v>90839.0</v>
      </c>
    </row>
    <row r="48" ht="15.75" customHeight="1">
      <c r="A48" s="3" t="s">
        <v>105</v>
      </c>
      <c r="B48" s="3" t="s">
        <v>106</v>
      </c>
      <c r="C48" s="3" t="s">
        <v>22</v>
      </c>
      <c r="D48" s="3" t="s">
        <v>32</v>
      </c>
      <c r="E48" s="3" t="s">
        <v>28</v>
      </c>
      <c r="F48" s="5">
        <v>37000.0</v>
      </c>
      <c r="G48" s="6">
        <v>92436.0</v>
      </c>
    </row>
    <row r="49" ht="15.75" customHeight="1">
      <c r="A49" s="3" t="s">
        <v>107</v>
      </c>
      <c r="B49" s="3" t="s">
        <v>108</v>
      </c>
      <c r="C49" s="3" t="s">
        <v>37</v>
      </c>
      <c r="D49" s="3" t="s">
        <v>27</v>
      </c>
      <c r="E49" s="3" t="s">
        <v>33</v>
      </c>
      <c r="F49" s="5">
        <v>67000.0</v>
      </c>
      <c r="G49" s="6">
        <v>93567.0</v>
      </c>
    </row>
    <row r="50" ht="15.75" customHeight="1">
      <c r="A50" s="3" t="s">
        <v>109</v>
      </c>
      <c r="B50" s="3" t="s">
        <v>108</v>
      </c>
      <c r="C50" s="3" t="s">
        <v>37</v>
      </c>
      <c r="D50" s="3" t="s">
        <v>32</v>
      </c>
      <c r="E50" s="3" t="s">
        <v>33</v>
      </c>
      <c r="F50" s="5">
        <v>23000.0</v>
      </c>
      <c r="G50" s="6">
        <v>40461.0</v>
      </c>
    </row>
    <row r="51" ht="15.75" customHeight="1">
      <c r="A51" s="3" t="s">
        <v>110</v>
      </c>
      <c r="B51" s="3" t="s">
        <v>108</v>
      </c>
      <c r="C51" s="3" t="s">
        <v>37</v>
      </c>
      <c r="D51" s="3" t="s">
        <v>23</v>
      </c>
      <c r="E51" s="3" t="s">
        <v>24</v>
      </c>
      <c r="F51" s="5">
        <v>21000.0</v>
      </c>
      <c r="G51" s="6">
        <v>42392.0</v>
      </c>
    </row>
    <row r="52" ht="15.75" customHeight="1">
      <c r="A52" s="3" t="s">
        <v>111</v>
      </c>
      <c r="B52" s="3" t="s">
        <v>112</v>
      </c>
      <c r="C52" s="3" t="s">
        <v>31</v>
      </c>
      <c r="D52" s="3" t="s">
        <v>32</v>
      </c>
      <c r="E52" s="3" t="s">
        <v>24</v>
      </c>
      <c r="F52" s="5">
        <v>108000.0</v>
      </c>
      <c r="G52" s="6">
        <v>168924.0</v>
      </c>
    </row>
    <row r="53" ht="15.75" customHeight="1">
      <c r="A53" s="3" t="s">
        <v>113</v>
      </c>
      <c r="B53" s="3" t="s">
        <v>114</v>
      </c>
      <c r="C53" s="3" t="s">
        <v>26</v>
      </c>
      <c r="D53" s="3" t="s">
        <v>32</v>
      </c>
      <c r="E53" s="3" t="s">
        <v>24</v>
      </c>
      <c r="F53" s="5">
        <v>68000.0</v>
      </c>
      <c r="G53" s="6">
        <v>99168.0</v>
      </c>
    </row>
    <row r="54" ht="15.75" customHeight="1">
      <c r="A54" s="3" t="s">
        <v>115</v>
      </c>
      <c r="B54" s="3" t="s">
        <v>114</v>
      </c>
      <c r="C54" s="3" t="s">
        <v>22</v>
      </c>
      <c r="D54" s="3" t="s">
        <v>32</v>
      </c>
      <c r="E54" s="3" t="s">
        <v>33</v>
      </c>
      <c r="F54" s="5">
        <v>47000.0</v>
      </c>
      <c r="G54" s="6">
        <v>92611.0</v>
      </c>
    </row>
    <row r="55" ht="15.75" customHeight="1">
      <c r="A55" s="3" t="s">
        <v>116</v>
      </c>
      <c r="B55" s="3" t="s">
        <v>114</v>
      </c>
      <c r="C55" s="3" t="s">
        <v>22</v>
      </c>
      <c r="D55" s="3" t="s">
        <v>32</v>
      </c>
      <c r="E55" s="3" t="s">
        <v>39</v>
      </c>
      <c r="F55" s="5">
        <v>26000.0</v>
      </c>
      <c r="G55" s="6">
        <v>37163.0</v>
      </c>
    </row>
    <row r="56" ht="15.75" customHeight="1">
      <c r="A56" s="3" t="s">
        <v>117</v>
      </c>
      <c r="B56" s="3" t="s">
        <v>118</v>
      </c>
      <c r="C56" s="3" t="s">
        <v>46</v>
      </c>
      <c r="D56" s="3" t="s">
        <v>27</v>
      </c>
      <c r="E56" s="3" t="s">
        <v>24</v>
      </c>
      <c r="F56" s="5">
        <v>113000.0</v>
      </c>
      <c r="G56" s="6">
        <v>267788.0</v>
      </c>
    </row>
    <row r="57" ht="15.75" customHeight="1">
      <c r="A57" s="3" t="s">
        <v>119</v>
      </c>
      <c r="B57" s="3" t="s">
        <v>118</v>
      </c>
      <c r="C57" s="3" t="s">
        <v>26</v>
      </c>
      <c r="D57" s="3" t="s">
        <v>32</v>
      </c>
      <c r="E57" s="3" t="s">
        <v>39</v>
      </c>
      <c r="F57" s="5">
        <v>105000.0</v>
      </c>
      <c r="G57" s="6">
        <v>200183.0</v>
      </c>
    </row>
    <row r="58" ht="15.75" customHeight="1">
      <c r="A58" s="3" t="s">
        <v>120</v>
      </c>
      <c r="B58" s="3" t="s">
        <v>118</v>
      </c>
      <c r="C58" s="3" t="s">
        <v>46</v>
      </c>
      <c r="D58" s="3" t="s">
        <v>23</v>
      </c>
      <c r="E58" s="3" t="s">
        <v>24</v>
      </c>
      <c r="F58" s="5">
        <v>94000.0</v>
      </c>
      <c r="G58" s="6">
        <v>210324.0</v>
      </c>
    </row>
    <row r="59" ht="15.75" customHeight="1">
      <c r="A59" s="3" t="s">
        <v>121</v>
      </c>
      <c r="B59" s="3" t="s">
        <v>118</v>
      </c>
      <c r="C59" s="3" t="s">
        <v>37</v>
      </c>
      <c r="D59" s="3" t="s">
        <v>32</v>
      </c>
      <c r="E59" s="3" t="s">
        <v>33</v>
      </c>
      <c r="F59" s="5">
        <v>69000.0</v>
      </c>
      <c r="G59" s="6">
        <v>89692.0</v>
      </c>
    </row>
    <row r="60" ht="15.75" customHeight="1">
      <c r="A60" s="3" t="s">
        <v>122</v>
      </c>
      <c r="B60" s="3" t="s">
        <v>123</v>
      </c>
      <c r="C60" s="3" t="s">
        <v>31</v>
      </c>
      <c r="D60" s="3" t="s">
        <v>27</v>
      </c>
      <c r="E60" s="3" t="s">
        <v>33</v>
      </c>
      <c r="F60" s="5">
        <v>32000.0</v>
      </c>
      <c r="G60" s="6">
        <v>59888.0</v>
      </c>
    </row>
    <row r="61" ht="15.75" customHeight="1">
      <c r="A61" s="3" t="s">
        <v>124</v>
      </c>
      <c r="B61" s="3" t="s">
        <v>123</v>
      </c>
      <c r="C61" s="3" t="s">
        <v>37</v>
      </c>
      <c r="D61" s="3" t="s">
        <v>41</v>
      </c>
      <c r="E61" s="3" t="s">
        <v>39</v>
      </c>
      <c r="F61" s="5">
        <v>71000.0</v>
      </c>
      <c r="G61" s="6">
        <v>91940.0</v>
      </c>
    </row>
    <row r="62" ht="15.75" customHeight="1">
      <c r="A62" s="3" t="s">
        <v>125</v>
      </c>
      <c r="B62" s="3" t="s">
        <v>123</v>
      </c>
      <c r="C62" s="3" t="s">
        <v>22</v>
      </c>
      <c r="D62" s="3" t="s">
        <v>27</v>
      </c>
      <c r="E62" s="3" t="s">
        <v>39</v>
      </c>
      <c r="F62" s="5">
        <v>92000.0</v>
      </c>
      <c r="G62" s="6">
        <v>198102.0</v>
      </c>
    </row>
    <row r="63" ht="15.75" customHeight="1">
      <c r="A63" s="3" t="s">
        <v>126</v>
      </c>
      <c r="B63" s="3" t="s">
        <v>123</v>
      </c>
      <c r="C63" s="3" t="s">
        <v>26</v>
      </c>
      <c r="D63" s="3" t="s">
        <v>41</v>
      </c>
      <c r="E63" s="3" t="s">
        <v>39</v>
      </c>
      <c r="F63" s="5">
        <v>68000.0</v>
      </c>
      <c r="G63" s="6">
        <v>103229.0</v>
      </c>
    </row>
    <row r="64" ht="15.75" customHeight="1">
      <c r="A64" s="3" t="s">
        <v>127</v>
      </c>
      <c r="B64" s="3" t="s">
        <v>128</v>
      </c>
      <c r="C64" s="3" t="s">
        <v>26</v>
      </c>
      <c r="D64" s="3" t="s">
        <v>41</v>
      </c>
      <c r="E64" s="3" t="s">
        <v>28</v>
      </c>
      <c r="F64" s="5">
        <v>66000.0</v>
      </c>
      <c r="G64" s="6">
        <v>133971.0</v>
      </c>
    </row>
    <row r="65" ht="15.75" customHeight="1">
      <c r="A65" s="3" t="s">
        <v>129</v>
      </c>
      <c r="B65" s="3" t="s">
        <v>128</v>
      </c>
      <c r="C65" s="3" t="s">
        <v>26</v>
      </c>
      <c r="D65" s="3" t="s">
        <v>23</v>
      </c>
      <c r="E65" s="3" t="s">
        <v>33</v>
      </c>
      <c r="F65" s="5">
        <v>60000.0</v>
      </c>
      <c r="G65" s="6">
        <v>125975.0</v>
      </c>
    </row>
    <row r="66" ht="15.75" customHeight="1">
      <c r="A66" s="3" t="s">
        <v>130</v>
      </c>
      <c r="B66" s="3" t="s">
        <v>131</v>
      </c>
      <c r="C66" s="3" t="s">
        <v>31</v>
      </c>
      <c r="D66" s="3" t="s">
        <v>23</v>
      </c>
      <c r="E66" s="3" t="s">
        <v>39</v>
      </c>
      <c r="F66" s="5">
        <v>100000.0</v>
      </c>
      <c r="G66" s="6">
        <v>231653.0</v>
      </c>
    </row>
    <row r="67" ht="15.75" customHeight="1">
      <c r="A67" s="3" t="s">
        <v>132</v>
      </c>
      <c r="B67" s="3" t="s">
        <v>131</v>
      </c>
      <c r="C67" s="3" t="s">
        <v>26</v>
      </c>
      <c r="D67" s="3" t="s">
        <v>41</v>
      </c>
      <c r="E67" s="3" t="s">
        <v>28</v>
      </c>
      <c r="F67" s="5">
        <v>116000.0</v>
      </c>
      <c r="G67" s="6">
        <v>163011.0</v>
      </c>
    </row>
    <row r="68" ht="15.75" customHeight="1">
      <c r="A68" s="3" t="s">
        <v>133</v>
      </c>
      <c r="B68" s="3" t="s">
        <v>134</v>
      </c>
      <c r="C68" s="3" t="s">
        <v>22</v>
      </c>
      <c r="D68" s="3" t="s">
        <v>41</v>
      </c>
      <c r="E68" s="3" t="s">
        <v>39</v>
      </c>
      <c r="F68" s="5">
        <v>34000.0</v>
      </c>
      <c r="G68" s="6">
        <v>56118.0</v>
      </c>
    </row>
    <row r="69" ht="15.75" customHeight="1">
      <c r="A69" s="3" t="s">
        <v>135</v>
      </c>
      <c r="B69" s="3" t="s">
        <v>134</v>
      </c>
      <c r="C69" s="3" t="s">
        <v>31</v>
      </c>
      <c r="D69" s="3" t="s">
        <v>27</v>
      </c>
      <c r="E69" s="3" t="s">
        <v>33</v>
      </c>
      <c r="F69" s="5">
        <v>35000.0</v>
      </c>
      <c r="G69" s="6">
        <v>64707.0</v>
      </c>
    </row>
    <row r="70" ht="15.75" customHeight="1">
      <c r="A70" s="3" t="s">
        <v>136</v>
      </c>
      <c r="B70" s="3" t="s">
        <v>137</v>
      </c>
      <c r="C70" s="3" t="s">
        <v>22</v>
      </c>
      <c r="D70" s="3" t="s">
        <v>41</v>
      </c>
      <c r="E70" s="3" t="s">
        <v>33</v>
      </c>
      <c r="F70" s="5">
        <v>47000.0</v>
      </c>
      <c r="G70" s="6">
        <v>84879.0</v>
      </c>
    </row>
    <row r="71" ht="15.75" customHeight="1">
      <c r="A71" s="3" t="s">
        <v>138</v>
      </c>
      <c r="B71" s="3" t="s">
        <v>137</v>
      </c>
      <c r="C71" s="3" t="s">
        <v>46</v>
      </c>
      <c r="D71" s="3" t="s">
        <v>41</v>
      </c>
      <c r="E71" s="3" t="s">
        <v>24</v>
      </c>
      <c r="F71" s="5">
        <v>118000.0</v>
      </c>
      <c r="G71" s="6">
        <v>212036.0</v>
      </c>
    </row>
    <row r="72" ht="15.75" customHeight="1">
      <c r="A72" s="3" t="s">
        <v>139</v>
      </c>
      <c r="B72" s="3" t="s">
        <v>137</v>
      </c>
      <c r="C72" s="3" t="s">
        <v>46</v>
      </c>
      <c r="D72" s="3" t="s">
        <v>27</v>
      </c>
      <c r="E72" s="3" t="s">
        <v>28</v>
      </c>
      <c r="F72" s="5">
        <v>47000.0</v>
      </c>
      <c r="G72" s="6">
        <v>111216.0</v>
      </c>
    </row>
    <row r="73" ht="15.75" customHeight="1">
      <c r="A73" s="3" t="s">
        <v>140</v>
      </c>
      <c r="B73" s="3" t="s">
        <v>141</v>
      </c>
      <c r="C73" s="3" t="s">
        <v>26</v>
      </c>
      <c r="D73" s="3" t="s">
        <v>27</v>
      </c>
      <c r="E73" s="3" t="s">
        <v>24</v>
      </c>
      <c r="F73" s="5">
        <v>17000.0</v>
      </c>
      <c r="G73" s="6">
        <v>41346.0</v>
      </c>
    </row>
    <row r="74" ht="15.75" customHeight="1">
      <c r="A74" s="3" t="s">
        <v>142</v>
      </c>
      <c r="B74" s="3" t="s">
        <v>143</v>
      </c>
      <c r="C74" s="3" t="s">
        <v>31</v>
      </c>
      <c r="D74" s="3" t="s">
        <v>41</v>
      </c>
      <c r="E74" s="3" t="s">
        <v>24</v>
      </c>
      <c r="F74" s="5">
        <v>82000.0</v>
      </c>
      <c r="G74" s="6">
        <v>117620.0</v>
      </c>
    </row>
    <row r="75" ht="15.75" customHeight="1">
      <c r="A75" s="3" t="s">
        <v>144</v>
      </c>
      <c r="B75" s="3" t="s">
        <v>143</v>
      </c>
      <c r="C75" s="3" t="s">
        <v>46</v>
      </c>
      <c r="D75" s="3" t="s">
        <v>23</v>
      </c>
      <c r="E75" s="3" t="s">
        <v>33</v>
      </c>
      <c r="F75" s="5">
        <v>75000.0</v>
      </c>
      <c r="G75" s="6">
        <v>159578.0</v>
      </c>
    </row>
    <row r="76" ht="15.75" customHeight="1">
      <c r="A76" s="3" t="s">
        <v>145</v>
      </c>
      <c r="B76" s="3" t="s">
        <v>143</v>
      </c>
      <c r="C76" s="3" t="s">
        <v>37</v>
      </c>
      <c r="D76" s="3" t="s">
        <v>23</v>
      </c>
      <c r="E76" s="3" t="s">
        <v>24</v>
      </c>
      <c r="F76" s="5">
        <v>85000.0</v>
      </c>
      <c r="G76" s="6">
        <v>162811.0</v>
      </c>
    </row>
    <row r="77" ht="15.75" customHeight="1">
      <c r="A77" s="3" t="s">
        <v>146</v>
      </c>
      <c r="B77" s="3" t="s">
        <v>147</v>
      </c>
      <c r="C77" s="3" t="s">
        <v>37</v>
      </c>
      <c r="D77" s="3" t="s">
        <v>23</v>
      </c>
      <c r="E77" s="3" t="s">
        <v>33</v>
      </c>
      <c r="F77" s="5">
        <v>50000.0</v>
      </c>
      <c r="G77" s="6">
        <v>104139.0</v>
      </c>
    </row>
    <row r="78" ht="15.75" customHeight="1">
      <c r="A78" s="3" t="s">
        <v>148</v>
      </c>
      <c r="B78" s="3" t="s">
        <v>147</v>
      </c>
      <c r="C78" s="3" t="s">
        <v>22</v>
      </c>
      <c r="D78" s="3" t="s">
        <v>41</v>
      </c>
      <c r="E78" s="3" t="s">
        <v>39</v>
      </c>
      <c r="F78" s="5">
        <v>16000.0</v>
      </c>
      <c r="G78" s="6">
        <v>24650.0</v>
      </c>
    </row>
    <row r="79" ht="15.75" customHeight="1">
      <c r="A79" s="3" t="s">
        <v>149</v>
      </c>
      <c r="B79" s="3" t="s">
        <v>150</v>
      </c>
      <c r="C79" s="3" t="s">
        <v>31</v>
      </c>
      <c r="D79" s="3" t="s">
        <v>23</v>
      </c>
      <c r="E79" s="3" t="s">
        <v>28</v>
      </c>
      <c r="F79" s="5">
        <v>74000.0</v>
      </c>
      <c r="G79" s="6">
        <v>161759.0</v>
      </c>
    </row>
    <row r="80" ht="15.75" customHeight="1">
      <c r="A80" s="3" t="s">
        <v>151</v>
      </c>
      <c r="B80" s="3" t="s">
        <v>150</v>
      </c>
      <c r="C80" s="3" t="s">
        <v>22</v>
      </c>
      <c r="D80" s="3" t="s">
        <v>27</v>
      </c>
      <c r="E80" s="3" t="s">
        <v>24</v>
      </c>
      <c r="F80" s="5">
        <v>78000.0</v>
      </c>
      <c r="G80" s="6">
        <v>108413.0</v>
      </c>
    </row>
    <row r="81" ht="15.75" customHeight="1">
      <c r="A81" s="3" t="s">
        <v>152</v>
      </c>
      <c r="B81" s="3" t="s">
        <v>153</v>
      </c>
      <c r="C81" s="3" t="s">
        <v>46</v>
      </c>
      <c r="D81" s="3" t="s">
        <v>32</v>
      </c>
      <c r="E81" s="3" t="s">
        <v>33</v>
      </c>
      <c r="F81" s="5">
        <v>115000.0</v>
      </c>
      <c r="G81" s="6">
        <v>185928.0</v>
      </c>
    </row>
    <row r="82" ht="15.75" customHeight="1">
      <c r="A82" s="3" t="s">
        <v>154</v>
      </c>
      <c r="B82" s="3" t="s">
        <v>155</v>
      </c>
      <c r="C82" s="3" t="s">
        <v>31</v>
      </c>
      <c r="D82" s="3" t="s">
        <v>23</v>
      </c>
      <c r="E82" s="3" t="s">
        <v>33</v>
      </c>
      <c r="F82" s="5">
        <v>111000.0</v>
      </c>
      <c r="G82" s="6">
        <v>256281.0</v>
      </c>
    </row>
    <row r="83" ht="15.75" customHeight="1">
      <c r="A83" s="3" t="s">
        <v>156</v>
      </c>
      <c r="B83" s="3" t="s">
        <v>155</v>
      </c>
      <c r="C83" s="3" t="s">
        <v>37</v>
      </c>
      <c r="D83" s="3" t="s">
        <v>41</v>
      </c>
      <c r="E83" s="3" t="s">
        <v>28</v>
      </c>
      <c r="F83" s="5">
        <v>23000.0</v>
      </c>
      <c r="G83" s="6">
        <v>44799.0</v>
      </c>
    </row>
    <row r="84" ht="15.75" customHeight="1">
      <c r="A84" s="3" t="s">
        <v>157</v>
      </c>
      <c r="B84" s="3" t="s">
        <v>158</v>
      </c>
      <c r="C84" s="3" t="s">
        <v>46</v>
      </c>
      <c r="D84" s="3" t="s">
        <v>32</v>
      </c>
      <c r="E84" s="3" t="s">
        <v>33</v>
      </c>
      <c r="F84" s="5">
        <v>116000.0</v>
      </c>
      <c r="G84" s="6">
        <v>267872.0</v>
      </c>
    </row>
    <row r="85" ht="15.75" customHeight="1">
      <c r="A85" s="3" t="s">
        <v>159</v>
      </c>
      <c r="B85" s="3" t="s">
        <v>158</v>
      </c>
      <c r="C85" s="3" t="s">
        <v>31</v>
      </c>
      <c r="D85" s="3" t="s">
        <v>32</v>
      </c>
      <c r="E85" s="3" t="s">
        <v>33</v>
      </c>
      <c r="F85" s="5">
        <v>63000.0</v>
      </c>
      <c r="G85" s="6">
        <v>144711.0</v>
      </c>
    </row>
    <row r="86" ht="15.75" customHeight="1">
      <c r="A86" s="3" t="s">
        <v>160</v>
      </c>
      <c r="B86" s="3" t="s">
        <v>158</v>
      </c>
      <c r="C86" s="3" t="s">
        <v>26</v>
      </c>
      <c r="D86" s="3" t="s">
        <v>27</v>
      </c>
      <c r="E86" s="3" t="s">
        <v>28</v>
      </c>
      <c r="F86" s="5">
        <v>104000.0</v>
      </c>
      <c r="G86" s="6">
        <v>145140.0</v>
      </c>
    </row>
    <row r="87" ht="15.75" customHeight="1">
      <c r="A87" s="3" t="s">
        <v>161</v>
      </c>
      <c r="B87" s="3" t="s">
        <v>162</v>
      </c>
      <c r="C87" s="3" t="s">
        <v>22</v>
      </c>
      <c r="D87" s="3" t="s">
        <v>41</v>
      </c>
      <c r="E87" s="3" t="s">
        <v>33</v>
      </c>
      <c r="F87" s="5">
        <v>94000.0</v>
      </c>
      <c r="G87" s="6">
        <v>128491.0</v>
      </c>
    </row>
    <row r="88" ht="15.75" customHeight="1">
      <c r="A88" s="3" t="s">
        <v>163</v>
      </c>
      <c r="B88" s="3" t="s">
        <v>162</v>
      </c>
      <c r="C88" s="3" t="s">
        <v>37</v>
      </c>
      <c r="D88" s="3" t="s">
        <v>41</v>
      </c>
      <c r="E88" s="3" t="s">
        <v>28</v>
      </c>
      <c r="F88" s="5">
        <v>80000.0</v>
      </c>
      <c r="G88" s="6">
        <v>199815.0</v>
      </c>
    </row>
    <row r="89" ht="15.75" customHeight="1">
      <c r="A89" s="3" t="s">
        <v>164</v>
      </c>
      <c r="B89" s="3" t="s">
        <v>162</v>
      </c>
      <c r="C89" s="3" t="s">
        <v>31</v>
      </c>
      <c r="D89" s="3" t="s">
        <v>27</v>
      </c>
      <c r="E89" s="3" t="s">
        <v>28</v>
      </c>
      <c r="F89" s="5">
        <v>53000.0</v>
      </c>
      <c r="G89" s="6">
        <v>126968.0</v>
      </c>
    </row>
    <row r="90" ht="15.75" customHeight="1">
      <c r="A90" s="3" t="s">
        <v>165</v>
      </c>
      <c r="B90" s="3" t="s">
        <v>162</v>
      </c>
      <c r="C90" s="3" t="s">
        <v>22</v>
      </c>
      <c r="D90" s="3" t="s">
        <v>27</v>
      </c>
      <c r="E90" s="3" t="s">
        <v>28</v>
      </c>
      <c r="F90" s="5">
        <v>103000.0</v>
      </c>
      <c r="G90" s="6">
        <v>212123.0</v>
      </c>
    </row>
    <row r="91" ht="15.75" customHeight="1">
      <c r="A91" s="3" t="s">
        <v>166</v>
      </c>
      <c r="B91" s="3" t="s">
        <v>167</v>
      </c>
      <c r="C91" s="3" t="s">
        <v>22</v>
      </c>
      <c r="D91" s="3" t="s">
        <v>32</v>
      </c>
      <c r="E91" s="3" t="s">
        <v>39</v>
      </c>
      <c r="F91" s="5">
        <v>112000.0</v>
      </c>
      <c r="G91" s="6">
        <v>148688.0</v>
      </c>
    </row>
    <row r="92" ht="15.75" customHeight="1">
      <c r="A92" s="3" t="s">
        <v>168</v>
      </c>
      <c r="B92" s="3" t="s">
        <v>169</v>
      </c>
      <c r="C92" s="3" t="s">
        <v>46</v>
      </c>
      <c r="D92" s="3" t="s">
        <v>41</v>
      </c>
      <c r="E92" s="3" t="s">
        <v>33</v>
      </c>
      <c r="F92" s="5">
        <v>67000.0</v>
      </c>
      <c r="G92" s="6">
        <v>163944.0</v>
      </c>
    </row>
    <row r="93" ht="15.75" customHeight="1">
      <c r="A93" s="3" t="s">
        <v>170</v>
      </c>
      <c r="B93" s="3" t="s">
        <v>169</v>
      </c>
      <c r="C93" s="3" t="s">
        <v>31</v>
      </c>
      <c r="D93" s="3" t="s">
        <v>27</v>
      </c>
      <c r="E93" s="3" t="s">
        <v>39</v>
      </c>
      <c r="F93" s="5">
        <v>33000.0</v>
      </c>
      <c r="G93" s="6">
        <v>72748.0</v>
      </c>
    </row>
    <row r="94" ht="15.75" customHeight="1">
      <c r="A94" s="3" t="s">
        <v>171</v>
      </c>
      <c r="B94" s="3" t="s">
        <v>172</v>
      </c>
      <c r="C94" s="3" t="s">
        <v>22</v>
      </c>
      <c r="D94" s="3" t="s">
        <v>41</v>
      </c>
      <c r="E94" s="3" t="s">
        <v>24</v>
      </c>
      <c r="F94" s="5">
        <v>45000.0</v>
      </c>
      <c r="G94" s="6">
        <v>74884.0</v>
      </c>
    </row>
    <row r="95" ht="15.75" customHeight="1">
      <c r="A95" s="3" t="s">
        <v>173</v>
      </c>
      <c r="B95" s="3" t="s">
        <v>172</v>
      </c>
      <c r="C95" s="3" t="s">
        <v>46</v>
      </c>
      <c r="D95" s="3" t="s">
        <v>23</v>
      </c>
      <c r="E95" s="3" t="s">
        <v>24</v>
      </c>
      <c r="F95" s="5">
        <v>82000.0</v>
      </c>
      <c r="G95" s="6">
        <v>109842.0</v>
      </c>
    </row>
    <row r="96" ht="15.75" customHeight="1">
      <c r="A96" s="3" t="s">
        <v>174</v>
      </c>
      <c r="B96" s="3" t="s">
        <v>175</v>
      </c>
      <c r="C96" s="3" t="s">
        <v>22</v>
      </c>
      <c r="D96" s="3" t="s">
        <v>41</v>
      </c>
      <c r="E96" s="3" t="s">
        <v>33</v>
      </c>
      <c r="F96" s="5">
        <v>27000.0</v>
      </c>
      <c r="G96" s="6">
        <v>42248.0</v>
      </c>
    </row>
    <row r="97" ht="15.75" customHeight="1">
      <c r="A97" s="3" t="s">
        <v>176</v>
      </c>
      <c r="B97" s="3" t="s">
        <v>175</v>
      </c>
      <c r="C97" s="3" t="s">
        <v>26</v>
      </c>
      <c r="D97" s="3" t="s">
        <v>41</v>
      </c>
      <c r="E97" s="3" t="s">
        <v>33</v>
      </c>
      <c r="F97" s="5">
        <v>89000.0</v>
      </c>
      <c r="G97" s="6">
        <v>166139.0</v>
      </c>
    </row>
    <row r="98" ht="15.75" customHeight="1">
      <c r="A98" s="3" t="s">
        <v>177</v>
      </c>
      <c r="B98" s="3" t="s">
        <v>178</v>
      </c>
      <c r="C98" s="3" t="s">
        <v>31</v>
      </c>
      <c r="D98" s="3" t="s">
        <v>32</v>
      </c>
      <c r="E98" s="3" t="s">
        <v>39</v>
      </c>
      <c r="F98" s="5">
        <v>111000.0</v>
      </c>
      <c r="G98" s="6">
        <v>139044.0</v>
      </c>
    </row>
    <row r="99" ht="15.75" customHeight="1">
      <c r="A99" s="3" t="s">
        <v>179</v>
      </c>
      <c r="B99" s="3" t="s">
        <v>180</v>
      </c>
      <c r="C99" s="3" t="s">
        <v>46</v>
      </c>
      <c r="D99" s="3" t="s">
        <v>27</v>
      </c>
      <c r="E99" s="3" t="s">
        <v>39</v>
      </c>
      <c r="F99" s="5">
        <v>87000.0</v>
      </c>
      <c r="G99" s="6">
        <v>121141.0</v>
      </c>
    </row>
    <row r="100" ht="15.75" customHeight="1">
      <c r="A100" s="3" t="s">
        <v>181</v>
      </c>
      <c r="B100" s="3" t="s">
        <v>180</v>
      </c>
      <c r="C100" s="3" t="s">
        <v>26</v>
      </c>
      <c r="D100" s="3" t="s">
        <v>41</v>
      </c>
      <c r="E100" s="3" t="s">
        <v>33</v>
      </c>
      <c r="F100" s="5">
        <v>102000.0</v>
      </c>
      <c r="G100" s="6">
        <v>201442.0</v>
      </c>
    </row>
    <row r="101" ht="15.75" customHeight="1">
      <c r="A101" s="3" t="s">
        <v>182</v>
      </c>
      <c r="B101" s="3" t="s">
        <v>183</v>
      </c>
      <c r="C101" s="3" t="s">
        <v>31</v>
      </c>
      <c r="D101" s="3" t="s">
        <v>27</v>
      </c>
      <c r="E101" s="3" t="s">
        <v>33</v>
      </c>
      <c r="F101" s="5">
        <v>22000.0</v>
      </c>
      <c r="G101" s="6">
        <v>41296.0</v>
      </c>
    </row>
    <row r="102" ht="15.75" customHeight="1">
      <c r="A102" s="3" t="s">
        <v>184</v>
      </c>
      <c r="B102" s="3" t="s">
        <v>185</v>
      </c>
      <c r="C102" s="3" t="s">
        <v>22</v>
      </c>
      <c r="D102" s="3" t="s">
        <v>27</v>
      </c>
      <c r="E102" s="3" t="s">
        <v>39</v>
      </c>
      <c r="F102" s="5">
        <v>57000.0</v>
      </c>
      <c r="G102" s="6">
        <v>132808.0</v>
      </c>
    </row>
    <row r="103" ht="15.75" customHeight="1">
      <c r="A103" s="3" t="s">
        <v>186</v>
      </c>
      <c r="B103" s="3" t="s">
        <v>185</v>
      </c>
      <c r="C103" s="3" t="s">
        <v>22</v>
      </c>
      <c r="D103" s="3" t="s">
        <v>41</v>
      </c>
      <c r="E103" s="3" t="s">
        <v>28</v>
      </c>
      <c r="F103" s="5">
        <v>102000.0</v>
      </c>
      <c r="G103" s="6">
        <v>250766.0</v>
      </c>
    </row>
    <row r="104" ht="15.75" customHeight="1">
      <c r="A104" s="3" t="s">
        <v>187</v>
      </c>
      <c r="B104" s="3" t="s">
        <v>188</v>
      </c>
      <c r="C104" s="3" t="s">
        <v>22</v>
      </c>
      <c r="D104" s="3" t="s">
        <v>27</v>
      </c>
      <c r="E104" s="3" t="s">
        <v>39</v>
      </c>
      <c r="F104" s="5">
        <v>118000.0</v>
      </c>
      <c r="G104" s="6">
        <v>277602.0</v>
      </c>
    </row>
    <row r="105" ht="15.75" customHeight="1">
      <c r="A105" s="3" t="s">
        <v>189</v>
      </c>
      <c r="B105" s="3" t="s">
        <v>188</v>
      </c>
      <c r="C105" s="3" t="s">
        <v>22</v>
      </c>
      <c r="D105" s="3" t="s">
        <v>23</v>
      </c>
      <c r="E105" s="3" t="s">
        <v>28</v>
      </c>
      <c r="F105" s="5">
        <v>49000.0</v>
      </c>
      <c r="G105" s="6">
        <v>110680.0</v>
      </c>
    </row>
    <row r="106" ht="15.75" customHeight="1">
      <c r="A106" s="3" t="s">
        <v>190</v>
      </c>
      <c r="B106" s="3" t="s">
        <v>191</v>
      </c>
      <c r="C106" s="3" t="s">
        <v>22</v>
      </c>
      <c r="D106" s="3" t="s">
        <v>23</v>
      </c>
      <c r="E106" s="3" t="s">
        <v>39</v>
      </c>
      <c r="F106" s="5">
        <v>59000.0</v>
      </c>
      <c r="G106" s="6">
        <v>114617.0</v>
      </c>
    </row>
    <row r="107" ht="15.75" customHeight="1">
      <c r="A107" s="3" t="s">
        <v>192</v>
      </c>
      <c r="B107" s="3" t="s">
        <v>193</v>
      </c>
      <c r="C107" s="3" t="s">
        <v>26</v>
      </c>
      <c r="D107" s="3" t="s">
        <v>27</v>
      </c>
      <c r="E107" s="3" t="s">
        <v>24</v>
      </c>
      <c r="F107" s="5">
        <v>25000.0</v>
      </c>
      <c r="G107" s="6">
        <v>32143.0</v>
      </c>
    </row>
    <row r="108" ht="15.75" customHeight="1">
      <c r="A108" s="3" t="s">
        <v>194</v>
      </c>
      <c r="B108" s="3" t="s">
        <v>195</v>
      </c>
      <c r="C108" s="3" t="s">
        <v>22</v>
      </c>
      <c r="D108" s="3" t="s">
        <v>23</v>
      </c>
      <c r="E108" s="3" t="s">
        <v>28</v>
      </c>
      <c r="F108" s="5">
        <v>22000.0</v>
      </c>
      <c r="G108" s="6">
        <v>33055.0</v>
      </c>
    </row>
    <row r="109" ht="15.75" customHeight="1">
      <c r="A109" s="3" t="s">
        <v>196</v>
      </c>
      <c r="B109" s="3" t="s">
        <v>197</v>
      </c>
      <c r="C109" s="3" t="s">
        <v>46</v>
      </c>
      <c r="D109" s="3" t="s">
        <v>41</v>
      </c>
      <c r="E109" s="3" t="s">
        <v>24</v>
      </c>
      <c r="F109" s="5">
        <v>112000.0</v>
      </c>
      <c r="G109" s="6">
        <v>148671.0</v>
      </c>
    </row>
    <row r="110" ht="15.75" customHeight="1">
      <c r="A110" s="3" t="s">
        <v>198</v>
      </c>
      <c r="B110" s="3" t="s">
        <v>199</v>
      </c>
      <c r="C110" s="3" t="s">
        <v>46</v>
      </c>
      <c r="D110" s="3" t="s">
        <v>32</v>
      </c>
      <c r="E110" s="3" t="s">
        <v>28</v>
      </c>
      <c r="F110" s="5">
        <v>112000.0</v>
      </c>
      <c r="G110" s="6">
        <v>159578.0</v>
      </c>
    </row>
    <row r="111" ht="15.75" customHeight="1">
      <c r="A111" s="3" t="s">
        <v>200</v>
      </c>
      <c r="B111" s="3" t="s">
        <v>201</v>
      </c>
      <c r="C111" s="3" t="s">
        <v>37</v>
      </c>
      <c r="D111" s="3" t="s">
        <v>27</v>
      </c>
      <c r="E111" s="3" t="s">
        <v>24</v>
      </c>
      <c r="F111" s="5">
        <v>34000.0</v>
      </c>
      <c r="G111" s="6">
        <v>79893.0</v>
      </c>
    </row>
    <row r="112" ht="15.75" customHeight="1">
      <c r="A112" s="3" t="s">
        <v>202</v>
      </c>
      <c r="B112" s="3" t="s">
        <v>203</v>
      </c>
      <c r="C112" s="3" t="s">
        <v>46</v>
      </c>
      <c r="D112" s="3" t="s">
        <v>32</v>
      </c>
      <c r="E112" s="3" t="s">
        <v>28</v>
      </c>
      <c r="F112" s="5">
        <v>47000.0</v>
      </c>
      <c r="G112" s="6">
        <v>75134.0</v>
      </c>
    </row>
    <row r="113" ht="15.75" customHeight="1">
      <c r="A113" s="3" t="s">
        <v>204</v>
      </c>
      <c r="B113" s="3" t="s">
        <v>203</v>
      </c>
      <c r="C113" s="3" t="s">
        <v>26</v>
      </c>
      <c r="D113" s="3" t="s">
        <v>41</v>
      </c>
      <c r="E113" s="3" t="s">
        <v>39</v>
      </c>
      <c r="F113" s="5">
        <v>109000.0</v>
      </c>
      <c r="G113" s="6">
        <v>167013.0</v>
      </c>
    </row>
    <row r="114" ht="15.75" customHeight="1">
      <c r="A114" s="3" t="s">
        <v>205</v>
      </c>
      <c r="B114" s="3" t="s">
        <v>206</v>
      </c>
      <c r="C114" s="3" t="s">
        <v>22</v>
      </c>
      <c r="D114" s="3" t="s">
        <v>41</v>
      </c>
      <c r="E114" s="3" t="s">
        <v>33</v>
      </c>
      <c r="F114" s="5">
        <v>116000.0</v>
      </c>
      <c r="G114" s="6">
        <v>180405.0</v>
      </c>
    </row>
    <row r="115" ht="15.75" customHeight="1">
      <c r="A115" s="3" t="s">
        <v>207</v>
      </c>
      <c r="B115" s="3" t="s">
        <v>206</v>
      </c>
      <c r="C115" s="3" t="s">
        <v>26</v>
      </c>
      <c r="D115" s="3" t="s">
        <v>27</v>
      </c>
      <c r="E115" s="3" t="s">
        <v>28</v>
      </c>
      <c r="F115" s="5">
        <v>100000.0</v>
      </c>
      <c r="G115" s="6">
        <v>186120.0</v>
      </c>
    </row>
    <row r="116" ht="15.75" customHeight="1">
      <c r="A116" s="3" t="s">
        <v>208</v>
      </c>
      <c r="B116" s="3" t="s">
        <v>206</v>
      </c>
      <c r="C116" s="3" t="s">
        <v>26</v>
      </c>
      <c r="D116" s="3" t="s">
        <v>27</v>
      </c>
      <c r="E116" s="3" t="s">
        <v>24</v>
      </c>
      <c r="F116" s="5">
        <v>15000.0</v>
      </c>
      <c r="G116" s="6">
        <v>37198.0</v>
      </c>
    </row>
    <row r="117" ht="15.75" customHeight="1">
      <c r="A117" s="3" t="s">
        <v>209</v>
      </c>
      <c r="B117" s="3" t="s">
        <v>210</v>
      </c>
      <c r="C117" s="3" t="s">
        <v>26</v>
      </c>
      <c r="D117" s="3" t="s">
        <v>32</v>
      </c>
      <c r="E117" s="3" t="s">
        <v>24</v>
      </c>
      <c r="F117" s="5">
        <v>101000.0</v>
      </c>
      <c r="G117" s="6">
        <v>213861.0</v>
      </c>
    </row>
    <row r="118" ht="15.75" customHeight="1">
      <c r="A118" s="3" t="s">
        <v>211</v>
      </c>
      <c r="B118" s="3" t="s">
        <v>212</v>
      </c>
      <c r="C118" s="3" t="s">
        <v>31</v>
      </c>
      <c r="D118" s="3" t="s">
        <v>41</v>
      </c>
      <c r="E118" s="3" t="s">
        <v>28</v>
      </c>
      <c r="F118" s="5">
        <v>21000.0</v>
      </c>
      <c r="G118" s="6">
        <v>43312.0</v>
      </c>
    </row>
    <row r="119" ht="15.75" customHeight="1">
      <c r="A119" s="3" t="s">
        <v>213</v>
      </c>
      <c r="B119" s="3" t="s">
        <v>212</v>
      </c>
      <c r="C119" s="3" t="s">
        <v>26</v>
      </c>
      <c r="D119" s="3" t="s">
        <v>41</v>
      </c>
      <c r="E119" s="3" t="s">
        <v>28</v>
      </c>
      <c r="F119" s="5">
        <v>55000.0</v>
      </c>
      <c r="G119" s="6">
        <v>82160.0</v>
      </c>
    </row>
    <row r="120" ht="15.75" customHeight="1">
      <c r="A120" s="3" t="s">
        <v>214</v>
      </c>
      <c r="B120" s="3" t="s">
        <v>215</v>
      </c>
      <c r="C120" s="3" t="s">
        <v>37</v>
      </c>
      <c r="D120" s="3" t="s">
        <v>23</v>
      </c>
      <c r="E120" s="3" t="s">
        <v>39</v>
      </c>
      <c r="F120" s="5">
        <v>93000.0</v>
      </c>
      <c r="G120" s="6">
        <v>121502.0</v>
      </c>
    </row>
    <row r="121" ht="15.75" customHeight="1">
      <c r="A121" s="3" t="s">
        <v>216</v>
      </c>
      <c r="B121" s="3" t="s">
        <v>217</v>
      </c>
      <c r="C121" s="3" t="s">
        <v>37</v>
      </c>
      <c r="D121" s="3" t="s">
        <v>27</v>
      </c>
      <c r="E121" s="3" t="s">
        <v>33</v>
      </c>
      <c r="F121" s="5">
        <v>116000.0</v>
      </c>
      <c r="G121" s="6">
        <v>169489.0</v>
      </c>
    </row>
    <row r="122" ht="15.75" customHeight="1">
      <c r="A122" s="3" t="s">
        <v>218</v>
      </c>
      <c r="B122" s="3" t="s">
        <v>219</v>
      </c>
      <c r="C122" s="3" t="s">
        <v>31</v>
      </c>
      <c r="D122" s="3" t="s">
        <v>32</v>
      </c>
      <c r="E122" s="3" t="s">
        <v>28</v>
      </c>
      <c r="F122" s="5">
        <v>29000.0</v>
      </c>
      <c r="G122" s="6">
        <v>70378.0</v>
      </c>
    </row>
    <row r="123" ht="15.75" customHeight="1">
      <c r="A123" s="3" t="s">
        <v>220</v>
      </c>
      <c r="B123" s="3" t="s">
        <v>219</v>
      </c>
      <c r="C123" s="3" t="s">
        <v>31</v>
      </c>
      <c r="D123" s="3" t="s">
        <v>32</v>
      </c>
      <c r="E123" s="3" t="s">
        <v>24</v>
      </c>
      <c r="F123" s="5">
        <v>19000.0</v>
      </c>
      <c r="G123" s="6">
        <v>39895.0</v>
      </c>
    </row>
    <row r="124" ht="15.75" customHeight="1">
      <c r="A124" s="3" t="s">
        <v>221</v>
      </c>
      <c r="B124" s="3" t="s">
        <v>219</v>
      </c>
      <c r="C124" s="3" t="s">
        <v>46</v>
      </c>
      <c r="D124" s="3" t="s">
        <v>32</v>
      </c>
      <c r="E124" s="3" t="s">
        <v>24</v>
      </c>
      <c r="F124" s="5">
        <v>105000.0</v>
      </c>
      <c r="G124" s="6">
        <v>141942.0</v>
      </c>
    </row>
    <row r="125" ht="15.75" customHeight="1">
      <c r="A125" s="3" t="s">
        <v>222</v>
      </c>
      <c r="B125" s="3" t="s">
        <v>223</v>
      </c>
      <c r="C125" s="3" t="s">
        <v>22</v>
      </c>
      <c r="D125" s="3" t="s">
        <v>23</v>
      </c>
      <c r="E125" s="3" t="s">
        <v>28</v>
      </c>
      <c r="F125" s="5">
        <v>72000.0</v>
      </c>
      <c r="G125" s="6">
        <v>148858.0</v>
      </c>
    </row>
    <row r="126" ht="15.75" customHeight="1">
      <c r="A126" s="3" t="s">
        <v>224</v>
      </c>
      <c r="B126" s="3" t="s">
        <v>223</v>
      </c>
      <c r="C126" s="3" t="s">
        <v>26</v>
      </c>
      <c r="D126" s="3" t="s">
        <v>27</v>
      </c>
      <c r="E126" s="3" t="s">
        <v>39</v>
      </c>
      <c r="F126" s="5">
        <v>76000.0</v>
      </c>
      <c r="G126" s="6">
        <v>115168.0</v>
      </c>
    </row>
    <row r="127" ht="15.75" customHeight="1">
      <c r="A127" s="3" t="s">
        <v>225</v>
      </c>
      <c r="B127" s="3" t="s">
        <v>226</v>
      </c>
      <c r="C127" s="3" t="s">
        <v>37</v>
      </c>
      <c r="D127" s="3" t="s">
        <v>32</v>
      </c>
      <c r="E127" s="3" t="s">
        <v>39</v>
      </c>
      <c r="F127" s="5">
        <v>99000.0</v>
      </c>
      <c r="G127" s="6">
        <v>123530.0</v>
      </c>
    </row>
    <row r="128" ht="15.75" customHeight="1">
      <c r="A128" s="3" t="s">
        <v>227</v>
      </c>
      <c r="B128" s="3" t="s">
        <v>226</v>
      </c>
      <c r="C128" s="3" t="s">
        <v>31</v>
      </c>
      <c r="D128" s="3" t="s">
        <v>27</v>
      </c>
      <c r="E128" s="3" t="s">
        <v>24</v>
      </c>
      <c r="F128" s="5">
        <v>38000.0</v>
      </c>
      <c r="G128" s="6">
        <v>67625.0</v>
      </c>
    </row>
    <row r="129" ht="15.75" customHeight="1">
      <c r="A129" s="3" t="s">
        <v>228</v>
      </c>
      <c r="B129" s="3" t="s">
        <v>226</v>
      </c>
      <c r="C129" s="3" t="s">
        <v>46</v>
      </c>
      <c r="D129" s="3" t="s">
        <v>32</v>
      </c>
      <c r="E129" s="3" t="s">
        <v>39</v>
      </c>
      <c r="F129" s="5">
        <v>96000.0</v>
      </c>
      <c r="G129" s="6">
        <v>121964.0</v>
      </c>
    </row>
    <row r="130" ht="15.75" customHeight="1">
      <c r="A130" s="3" t="s">
        <v>229</v>
      </c>
      <c r="B130" s="3" t="s">
        <v>226</v>
      </c>
      <c r="C130" s="3" t="s">
        <v>37</v>
      </c>
      <c r="D130" s="3" t="s">
        <v>27</v>
      </c>
      <c r="E130" s="3" t="s">
        <v>33</v>
      </c>
      <c r="F130" s="5">
        <v>50000.0</v>
      </c>
      <c r="G130" s="6">
        <v>95446.0</v>
      </c>
    </row>
    <row r="131" ht="15.75" customHeight="1">
      <c r="A131" s="3" t="s">
        <v>230</v>
      </c>
      <c r="B131" s="3" t="s">
        <v>231</v>
      </c>
      <c r="C131" s="3" t="s">
        <v>22</v>
      </c>
      <c r="D131" s="3" t="s">
        <v>32</v>
      </c>
      <c r="E131" s="3" t="s">
        <v>28</v>
      </c>
      <c r="F131" s="5">
        <v>66000.0</v>
      </c>
      <c r="G131" s="6">
        <v>138510.0</v>
      </c>
    </row>
    <row r="132" ht="15.75" customHeight="1">
      <c r="A132" s="3" t="s">
        <v>232</v>
      </c>
      <c r="B132" s="3" t="s">
        <v>231</v>
      </c>
      <c r="C132" s="3" t="s">
        <v>46</v>
      </c>
      <c r="D132" s="3" t="s">
        <v>23</v>
      </c>
      <c r="E132" s="3" t="s">
        <v>33</v>
      </c>
      <c r="F132" s="5">
        <v>54000.0</v>
      </c>
      <c r="G132" s="6">
        <v>79106.0</v>
      </c>
    </row>
    <row r="133" ht="15.75" customHeight="1">
      <c r="A133" s="3" t="s">
        <v>233</v>
      </c>
      <c r="B133" s="3" t="s">
        <v>231</v>
      </c>
      <c r="C133" s="3" t="s">
        <v>31</v>
      </c>
      <c r="D133" s="3" t="s">
        <v>41</v>
      </c>
      <c r="E133" s="3" t="s">
        <v>28</v>
      </c>
      <c r="F133" s="5">
        <v>56000.0</v>
      </c>
      <c r="G133" s="6">
        <v>72234.0</v>
      </c>
    </row>
    <row r="134" ht="15.75" customHeight="1">
      <c r="A134" s="3" t="s">
        <v>234</v>
      </c>
      <c r="B134" s="3" t="s">
        <v>235</v>
      </c>
      <c r="C134" s="3" t="s">
        <v>46</v>
      </c>
      <c r="D134" s="3" t="s">
        <v>23</v>
      </c>
      <c r="E134" s="3" t="s">
        <v>33</v>
      </c>
      <c r="F134" s="5">
        <v>108000.0</v>
      </c>
      <c r="G134" s="6">
        <v>156597.0</v>
      </c>
    </row>
    <row r="135" ht="15.75" customHeight="1">
      <c r="A135" s="3" t="s">
        <v>236</v>
      </c>
      <c r="B135" s="3" t="s">
        <v>237</v>
      </c>
      <c r="C135" s="3" t="s">
        <v>31</v>
      </c>
      <c r="D135" s="3" t="s">
        <v>41</v>
      </c>
      <c r="E135" s="3" t="s">
        <v>39</v>
      </c>
      <c r="F135" s="5">
        <v>17000.0</v>
      </c>
      <c r="G135" s="6">
        <v>41107.0</v>
      </c>
    </row>
    <row r="136" ht="15.75" customHeight="1">
      <c r="A136" s="3" t="s">
        <v>238</v>
      </c>
      <c r="B136" s="3" t="s">
        <v>237</v>
      </c>
      <c r="C136" s="3" t="s">
        <v>46</v>
      </c>
      <c r="D136" s="3" t="s">
        <v>41</v>
      </c>
      <c r="E136" s="3" t="s">
        <v>28</v>
      </c>
      <c r="F136" s="5">
        <v>93000.0</v>
      </c>
      <c r="G136" s="6">
        <v>224487.0</v>
      </c>
    </row>
    <row r="137" ht="15.75" customHeight="1">
      <c r="A137" s="3" t="s">
        <v>239</v>
      </c>
      <c r="B137" s="3" t="s">
        <v>240</v>
      </c>
      <c r="C137" s="3" t="s">
        <v>37</v>
      </c>
      <c r="D137" s="3" t="s">
        <v>41</v>
      </c>
      <c r="E137" s="3" t="s">
        <v>24</v>
      </c>
      <c r="F137" s="5">
        <v>104000.0</v>
      </c>
      <c r="G137" s="6">
        <v>211097.0</v>
      </c>
    </row>
    <row r="138" ht="15.75" customHeight="1">
      <c r="A138" s="3" t="s">
        <v>241</v>
      </c>
      <c r="B138" s="3" t="s">
        <v>240</v>
      </c>
      <c r="C138" s="3" t="s">
        <v>37</v>
      </c>
      <c r="D138" s="3" t="s">
        <v>23</v>
      </c>
      <c r="E138" s="3" t="s">
        <v>28</v>
      </c>
      <c r="F138" s="5">
        <v>42000.0</v>
      </c>
      <c r="G138" s="6">
        <v>79615.0</v>
      </c>
    </row>
    <row r="139" ht="15.75" customHeight="1">
      <c r="A139" s="3" t="s">
        <v>242</v>
      </c>
      <c r="B139" s="3" t="s">
        <v>240</v>
      </c>
      <c r="C139" s="3" t="s">
        <v>31</v>
      </c>
      <c r="D139" s="3" t="s">
        <v>41</v>
      </c>
      <c r="E139" s="3" t="s">
        <v>33</v>
      </c>
      <c r="F139" s="5">
        <v>31000.0</v>
      </c>
      <c r="G139" s="6">
        <v>55673.0</v>
      </c>
    </row>
    <row r="140" ht="15.75" customHeight="1">
      <c r="A140" s="3" t="s">
        <v>243</v>
      </c>
      <c r="B140" s="3" t="s">
        <v>240</v>
      </c>
      <c r="C140" s="3" t="s">
        <v>46</v>
      </c>
      <c r="D140" s="3" t="s">
        <v>32</v>
      </c>
      <c r="E140" s="3" t="s">
        <v>39</v>
      </c>
      <c r="F140" s="5">
        <v>83000.0</v>
      </c>
      <c r="G140" s="6">
        <v>106750.0</v>
      </c>
    </row>
    <row r="141" ht="15.75" customHeight="1">
      <c r="A141" s="3" t="s">
        <v>244</v>
      </c>
      <c r="B141" s="3" t="s">
        <v>245</v>
      </c>
      <c r="C141" s="3" t="s">
        <v>22</v>
      </c>
      <c r="D141" s="3" t="s">
        <v>27</v>
      </c>
      <c r="E141" s="3" t="s">
        <v>39</v>
      </c>
      <c r="F141" s="5">
        <v>63000.0</v>
      </c>
      <c r="G141" s="6">
        <v>117246.0</v>
      </c>
    </row>
    <row r="142" ht="15.75" customHeight="1">
      <c r="A142" s="3" t="s">
        <v>246</v>
      </c>
      <c r="B142" s="3" t="s">
        <v>245</v>
      </c>
      <c r="C142" s="3" t="s">
        <v>31</v>
      </c>
      <c r="D142" s="3" t="s">
        <v>23</v>
      </c>
      <c r="E142" s="3" t="s">
        <v>33</v>
      </c>
      <c r="F142" s="5">
        <v>32000.0</v>
      </c>
      <c r="G142" s="6">
        <v>40526.0</v>
      </c>
    </row>
    <row r="143" ht="15.75" customHeight="1">
      <c r="A143" s="3" t="s">
        <v>247</v>
      </c>
      <c r="B143" s="3" t="s">
        <v>248</v>
      </c>
      <c r="C143" s="3" t="s">
        <v>31</v>
      </c>
      <c r="D143" s="3" t="s">
        <v>23</v>
      </c>
      <c r="E143" s="3" t="s">
        <v>33</v>
      </c>
      <c r="F143" s="5">
        <v>102000.0</v>
      </c>
      <c r="G143" s="6">
        <v>207452.0</v>
      </c>
    </row>
    <row r="144" ht="15.75" customHeight="1">
      <c r="A144" s="3" t="s">
        <v>249</v>
      </c>
      <c r="B144" s="3" t="s">
        <v>250</v>
      </c>
      <c r="C144" s="3" t="s">
        <v>22</v>
      </c>
      <c r="D144" s="3" t="s">
        <v>41</v>
      </c>
      <c r="E144" s="3" t="s">
        <v>24</v>
      </c>
      <c r="F144" s="5">
        <v>16000.0</v>
      </c>
      <c r="G144" s="6">
        <v>22741.0</v>
      </c>
    </row>
    <row r="145" ht="15.75" customHeight="1">
      <c r="A145" s="3" t="s">
        <v>251</v>
      </c>
      <c r="B145" s="3" t="s">
        <v>250</v>
      </c>
      <c r="C145" s="3" t="s">
        <v>37</v>
      </c>
      <c r="D145" s="3" t="s">
        <v>23</v>
      </c>
      <c r="E145" s="3" t="s">
        <v>33</v>
      </c>
      <c r="F145" s="5">
        <v>77000.0</v>
      </c>
      <c r="G145" s="6">
        <v>170808.0</v>
      </c>
    </row>
    <row r="146" ht="15.75" customHeight="1">
      <c r="A146" s="3" t="s">
        <v>252</v>
      </c>
      <c r="B146" s="3" t="s">
        <v>253</v>
      </c>
      <c r="C146" s="3" t="s">
        <v>26</v>
      </c>
      <c r="D146" s="3" t="s">
        <v>27</v>
      </c>
      <c r="E146" s="3" t="s">
        <v>28</v>
      </c>
      <c r="F146" s="5">
        <v>81000.0</v>
      </c>
      <c r="G146" s="6">
        <v>172071.0</v>
      </c>
    </row>
    <row r="147" ht="15.75" customHeight="1">
      <c r="A147" s="3" t="s">
        <v>254</v>
      </c>
      <c r="B147" s="3" t="s">
        <v>253</v>
      </c>
      <c r="C147" s="3" t="s">
        <v>22</v>
      </c>
      <c r="D147" s="3" t="s">
        <v>23</v>
      </c>
      <c r="E147" s="3" t="s">
        <v>39</v>
      </c>
      <c r="F147" s="5">
        <v>102000.0</v>
      </c>
      <c r="G147" s="6">
        <v>192778.0</v>
      </c>
    </row>
    <row r="148" ht="15.75" customHeight="1">
      <c r="A148" s="3" t="s">
        <v>255</v>
      </c>
      <c r="B148" s="3" t="s">
        <v>253</v>
      </c>
      <c r="C148" s="3" t="s">
        <v>26</v>
      </c>
      <c r="D148" s="3" t="s">
        <v>23</v>
      </c>
      <c r="E148" s="3" t="s">
        <v>33</v>
      </c>
      <c r="F148" s="5">
        <v>55000.0</v>
      </c>
      <c r="G148" s="6">
        <v>87015.0</v>
      </c>
    </row>
    <row r="149" ht="15.75" customHeight="1">
      <c r="A149" s="3" t="s">
        <v>256</v>
      </c>
      <c r="B149" s="3" t="s">
        <v>257</v>
      </c>
      <c r="C149" s="3" t="s">
        <v>26</v>
      </c>
      <c r="D149" s="3" t="s">
        <v>23</v>
      </c>
      <c r="E149" s="3" t="s">
        <v>33</v>
      </c>
      <c r="F149" s="5">
        <v>54000.0</v>
      </c>
      <c r="G149" s="6">
        <v>92128.0</v>
      </c>
    </row>
    <row r="150" ht="15.75" customHeight="1">
      <c r="A150" s="3" t="s">
        <v>258</v>
      </c>
      <c r="B150" s="3" t="s">
        <v>257</v>
      </c>
      <c r="C150" s="3" t="s">
        <v>46</v>
      </c>
      <c r="D150" s="3" t="s">
        <v>23</v>
      </c>
      <c r="E150" s="3" t="s">
        <v>39</v>
      </c>
      <c r="F150" s="5">
        <v>34000.0</v>
      </c>
      <c r="G150" s="6">
        <v>67925.0</v>
      </c>
    </row>
    <row r="151" ht="15.75" customHeight="1">
      <c r="A151" s="3" t="s">
        <v>259</v>
      </c>
      <c r="B151" s="3" t="s">
        <v>257</v>
      </c>
      <c r="C151" s="3" t="s">
        <v>22</v>
      </c>
      <c r="D151" s="3" t="s">
        <v>32</v>
      </c>
      <c r="E151" s="3" t="s">
        <v>39</v>
      </c>
      <c r="F151" s="5">
        <v>73000.0</v>
      </c>
      <c r="G151" s="6">
        <v>146975.0</v>
      </c>
    </row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B5">
      <formula1>"2026-07-03"</formula1>
    </dataValidation>
  </dataValidations>
  <printOptions/>
  <pageMargins bottom="1.0" footer="0.0" header="0.0" left="0.75" right="0.75" top="1.0"/>
  <pageSetup orientation="landscape"/>
  <drawing r:id="rId1"/>
</worksheet>
</file>