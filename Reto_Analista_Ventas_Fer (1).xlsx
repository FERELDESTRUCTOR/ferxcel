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Catálogo" sheetId="2" r:id="rId6"/>
    <sheet state="visible" name="Ventas" sheetId="3" r:id="rId7"/>
    <sheet state="visible" name="Tabla dinámica 1" sheetId="4" r:id="rId8"/>
  </sheets>
  <definedNames>
    <definedName hidden="1" localSheetId="2" name="Z_686C813E_4647_42F1_8BEB_81A8ACA9AACF_.wvu.FilterData">Ventas!$A$1:$K$101</definedName>
    <definedName hidden="1" localSheetId="1" name="Z_2BCC1B91_4A52_40C9_8E59_32621FD06164_.wvu.FilterData">'Catálogo'!$A$1:$D$9</definedName>
  </definedNames>
  <calcPr/>
  <customWorkbookViews>
    <customWorkbookView activeSheetId="0" maximized="1" windowHeight="0" windowWidth="0" guid="{686C813E-4647-42F1-8BEB-81A8ACA9AACF}" name="FactVentas filter view"/>
    <customWorkbookView activeSheetId="0" maximized="1" windowHeight="0" windowWidth="0" guid="{2BCC1B91-4A52-40C9-8E59-32621FD06164}" name="DimProductos filter view"/>
  </customWorkbookViews>
  <pivotCaches>
    <pivotCache cacheId="0" r:id="rId9"/>
  </pivotCaches>
</workbook>
</file>

<file path=xl/sharedStrings.xml><?xml version="1.0" encoding="utf-8"?>
<sst xmlns="http://schemas.openxmlformats.org/spreadsheetml/2006/main" count="569" uniqueCount="183">
  <si>
    <t>¡Segundo Round, Fer! Modo Vuelo Solo 🚀</t>
  </si>
  <si>
    <t>Para este reto, eres el analista de una tienda de refacciones y equipamiento.</t>
  </si>
  <si>
    <t>Tus objetivos sin ayuda de código son:</t>
  </si>
  <si>
    <t>1. Formato: Convierte las hojas 'Catálogo' y 'Ventas' en Tablas de Excel formales.</t>
  </si>
  <si>
    <t>2. Desnormalización: En 'Ventas', usa BUSCARX para traer el Artículo, Marca y Precio_Unitario desde el 'Catálogo'.</t>
  </si>
  <si>
    <t>3. Cálculo Básico: Crea una columna 'Subtotal' multiplicando la Cantidad por el Precio_Unitario.</t>
  </si>
  <si>
    <t>4. Lógica de Negocio (SI): La tienda da un 10% de descuento automático a compras cuyo Subtotal supere los $2,000. Crea la columna 'Descuento' que calcule el monto a descontar (o cero si no aplica).</t>
  </si>
  <si>
    <t>5. Cálculo Final: Crea la columna 'Venta_Neta' (Subtotal - Descuento).</t>
  </si>
  <si>
    <t>6. Agregaciones Rápidas: En celdas vacías, calcula (usando SUMAR.SI/CONTAR.SI):</t>
  </si>
  <si>
    <t xml:space="preserve">   - a) El total de Venta_Neta generado por la marca 'Italika'.</t>
  </si>
  <si>
    <t xml:space="preserve">   - b) Cuántos tickets se vendieron por la app 'Rappi'.</t>
  </si>
  <si>
    <t>7. BI &amp; Data Viz: Inserta una Tabla Dinámica. Analiza la 'Venta_Neta' por 'Canal' (Filas) y 'Marca' (Columnas). Inserta un gráfico de columnas agrupadas limpio.</t>
  </si>
  <si>
    <t>ID_Producto</t>
  </si>
  <si>
    <t>ID_Ticket</t>
  </si>
  <si>
    <t>Fecha</t>
  </si>
  <si>
    <t>Articulo</t>
  </si>
  <si>
    <t>Marca</t>
  </si>
  <si>
    <t>Canal</t>
  </si>
  <si>
    <t>Cantidad</t>
  </si>
  <si>
    <t>Precio_Unitario</t>
  </si>
  <si>
    <t>PROD-01</t>
  </si>
  <si>
    <t>Precio</t>
  </si>
  <si>
    <t>Espejos Retrovisores</t>
  </si>
  <si>
    <t>Subtotal</t>
  </si>
  <si>
    <t>Kawasaki</t>
  </si>
  <si>
    <t>Descuento</t>
  </si>
  <si>
    <t>Venta Neta</t>
  </si>
  <si>
    <t>ITALIKA</t>
  </si>
  <si>
    <t>PROD-02</t>
  </si>
  <si>
    <t>Rappi</t>
  </si>
  <si>
    <t>Posa Pies Delanteros</t>
  </si>
  <si>
    <t>TK-1063</t>
  </si>
  <si>
    <t>Italika</t>
  </si>
  <si>
    <t>2026-09-01</t>
  </si>
  <si>
    <t>PROD-06</t>
  </si>
  <si>
    <t>PROD-03</t>
  </si>
  <si>
    <t>Mostrador</t>
  </si>
  <si>
    <t>Guantes Touchscreen</t>
  </si>
  <si>
    <t>BikerPro</t>
  </si>
  <si>
    <t>PROD-04</t>
  </si>
  <si>
    <t>Mochila Impermeable</t>
  </si>
  <si>
    <t>PROD-05</t>
  </si>
  <si>
    <t>Casco Cerrado</t>
  </si>
  <si>
    <t>LS2</t>
  </si>
  <si>
    <t>Aceite Sintético</t>
  </si>
  <si>
    <t>Motul</t>
  </si>
  <si>
    <t>PROD-07</t>
  </si>
  <si>
    <t>Llantas Deportivas</t>
  </si>
  <si>
    <t>Michelin</t>
  </si>
  <si>
    <t>PROD-08</t>
  </si>
  <si>
    <t>Alforjas Laterales</t>
  </si>
  <si>
    <t>Ruta66</t>
  </si>
  <si>
    <t>TK-1035</t>
  </si>
  <si>
    <t>Uber</t>
  </si>
  <si>
    <t>TK-1028</t>
  </si>
  <si>
    <t>TK-1085</t>
  </si>
  <si>
    <t>2026-09-02</t>
  </si>
  <si>
    <t>TK-1045</t>
  </si>
  <si>
    <t>TK-1042</t>
  </si>
  <si>
    <t>Web</t>
  </si>
  <si>
    <t>TK-1068</t>
  </si>
  <si>
    <t>2026-09-03</t>
  </si>
  <si>
    <t>SUM de Venta Neta</t>
  </si>
  <si>
    <t>Suma total</t>
  </si>
  <si>
    <t>TK-1061</t>
  </si>
  <si>
    <t>TK-1001</t>
  </si>
  <si>
    <t>2026-09-04</t>
  </si>
  <si>
    <t>TK-1034</t>
  </si>
  <si>
    <t>TK-1031</t>
  </si>
  <si>
    <t>TK-1019</t>
  </si>
  <si>
    <t>TK-1066</t>
  </si>
  <si>
    <t>2026-09-05</t>
  </si>
  <si>
    <t>TK-1049</t>
  </si>
  <si>
    <t>TK-1026</t>
  </si>
  <si>
    <t>TK-1050</t>
  </si>
  <si>
    <t>TK-1094</t>
  </si>
  <si>
    <t>2026-09-07</t>
  </si>
  <si>
    <t>TK-1073</t>
  </si>
  <si>
    <t>TK-1011</t>
  </si>
  <si>
    <t>TK-1088</t>
  </si>
  <si>
    <t>TK-1032</t>
  </si>
  <si>
    <t>TK-1030</t>
  </si>
  <si>
    <t>TK-1077</t>
  </si>
  <si>
    <t>2026-09-08</t>
  </si>
  <si>
    <t>TK-1089</t>
  </si>
  <si>
    <t>TK-1091</t>
  </si>
  <si>
    <t>TK-1029</t>
  </si>
  <si>
    <t>2026-09-09</t>
  </si>
  <si>
    <t>TK-1002</t>
  </si>
  <si>
    <t>TK-1036</t>
  </si>
  <si>
    <t>TK-1048</t>
  </si>
  <si>
    <t>TK-1053</t>
  </si>
  <si>
    <t>TK-1005</t>
  </si>
  <si>
    <t>TK-1022</t>
  </si>
  <si>
    <t>2026-09-10</t>
  </si>
  <si>
    <t>TK-1093</t>
  </si>
  <si>
    <t>TK-1010</t>
  </si>
  <si>
    <t>2026-09-11</t>
  </si>
  <si>
    <t>TK-1065</t>
  </si>
  <si>
    <t>2026-09-12</t>
  </si>
  <si>
    <t>TK-1086</t>
  </si>
  <si>
    <t>TK-1064</t>
  </si>
  <si>
    <t>2026-09-13</t>
  </si>
  <si>
    <t>TK-1069</t>
  </si>
  <si>
    <t>TK-1071</t>
  </si>
  <si>
    <t>TK-1059</t>
  </si>
  <si>
    <t>TK-1024</t>
  </si>
  <si>
    <t>TK-1092</t>
  </si>
  <si>
    <t>2026-09-14</t>
  </si>
  <si>
    <t>TK-1023</t>
  </si>
  <si>
    <t>TK-1020</t>
  </si>
  <si>
    <t>TK-1060</t>
  </si>
  <si>
    <t>2026-09-15</t>
  </si>
  <si>
    <t>TK-1027</t>
  </si>
  <si>
    <t>TK-1003</t>
  </si>
  <si>
    <t>TK-1084</t>
  </si>
  <si>
    <t>2026-09-16</t>
  </si>
  <si>
    <t>TK-1090</t>
  </si>
  <si>
    <t>TK-1046</t>
  </si>
  <si>
    <t>TK-1021</t>
  </si>
  <si>
    <t>TK-1040</t>
  </si>
  <si>
    <t>TK-1067</t>
  </si>
  <si>
    <t>2026-09-17</t>
  </si>
  <si>
    <t>TK-1017</t>
  </si>
  <si>
    <t>TK-1082</t>
  </si>
  <si>
    <t>2026-09-18</t>
  </si>
  <si>
    <t>TK-1075</t>
  </si>
  <si>
    <t>TK-1100</t>
  </si>
  <si>
    <t>TK-1041</t>
  </si>
  <si>
    <t>TK-1099</t>
  </si>
  <si>
    <t>2026-09-19</t>
  </si>
  <si>
    <t>TK-1033</t>
  </si>
  <si>
    <t>TK-1080</t>
  </si>
  <si>
    <t>2026-09-20</t>
  </si>
  <si>
    <t>TK-1083</t>
  </si>
  <si>
    <t>TK-1037</t>
  </si>
  <si>
    <t>TK-1016</t>
  </si>
  <si>
    <t>TK-1096</t>
  </si>
  <si>
    <t>TK-1009</t>
  </si>
  <si>
    <t>2026-09-21</t>
  </si>
  <si>
    <t>TK-1007</t>
  </si>
  <si>
    <t>TK-1055</t>
  </si>
  <si>
    <t>TK-1051</t>
  </si>
  <si>
    <t>2026-09-22</t>
  </si>
  <si>
    <t>TK-1013</t>
  </si>
  <si>
    <t>TK-1062</t>
  </si>
  <si>
    <t>TK-1015</t>
  </si>
  <si>
    <t>TK-1008</t>
  </si>
  <si>
    <t>TK-1052</t>
  </si>
  <si>
    <t>TK-1076</t>
  </si>
  <si>
    <t>TK-1078</t>
  </si>
  <si>
    <t>2026-09-23</t>
  </si>
  <si>
    <t>TK-1079</t>
  </si>
  <si>
    <t>TK-1098</t>
  </si>
  <si>
    <t>2026-09-25</t>
  </si>
  <si>
    <t>TK-1097</t>
  </si>
  <si>
    <t>TK-1081</t>
  </si>
  <si>
    <t>TK-1070</t>
  </si>
  <si>
    <t>TK-1043</t>
  </si>
  <si>
    <t>TK-1038</t>
  </si>
  <si>
    <t>TK-1074</t>
  </si>
  <si>
    <t>2026-09-26</t>
  </si>
  <si>
    <t>TK-1006</t>
  </si>
  <si>
    <t>TK-1058</t>
  </si>
  <si>
    <t>TK-1044</t>
  </si>
  <si>
    <t>TK-1072</t>
  </si>
  <si>
    <t>2026-09-27</t>
  </si>
  <si>
    <t>TK-1018</t>
  </si>
  <si>
    <t>TK-1056</t>
  </si>
  <si>
    <t>TK-1004</t>
  </si>
  <si>
    <t>2026-09-28</t>
  </si>
  <si>
    <t>TK-1054</t>
  </si>
  <si>
    <t>TK-1014</t>
  </si>
  <si>
    <t>TK-1095</t>
  </si>
  <si>
    <t>TK-1047</t>
  </si>
  <si>
    <t>2026-09-29</t>
  </si>
  <si>
    <t>TK-1039</t>
  </si>
  <si>
    <t>2026-09-30</t>
  </si>
  <si>
    <t>TK-1057</t>
  </si>
  <si>
    <t>TK-1012</t>
  </si>
  <si>
    <t>TK-1087</t>
  </si>
  <si>
    <t>2026-10-01</t>
  </si>
  <si>
    <t>TK-1025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</si>
</sst>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6">
    <font>
      <sz val="11.0"/>
      <color theme="1"/>
      <name val="Calibri"/>
      <scheme val="minor"/>
    </font>
    <font>
      <b/>
      <sz val="16.0"/>
      <color rgb="FF003366"/>
      <name val="Calibri"/>
      <scheme val="minor"/>
    </font>
    <font>
      <sz val="12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4" numFmtId="164" xfId="0" applyFont="1" applyNumberFormat="1"/>
    <xf borderId="0" fillId="0" fontId="4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rgb="FFE5DFEC"/>
          <bgColor rgb="FFE5DFEC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Ventas-style">
      <tableStyleElement dxfId="1" type="headerRow"/>
      <tableStyleElement dxfId="3" type="firstRowStripe"/>
      <tableStyleElement dxfId="5" type="secondRowStripe"/>
      <tableStyleElement dxfId="6" size="0" type="wholeTable"/>
    </tableStyle>
    <tableStyle count="4" pivot="0" name="Catálogo-style">
      <tableStyleElement dxfId="2" type="headerRow"/>
      <tableStyleElement dxfId="4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Mostrador, Rappi, Uber y Web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'Tabla dinámica 1'!$A$3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'Tabla dinámica 1'!$B$2:$H$2</c:f>
            </c:strRef>
          </c:cat>
          <c:val>
            <c:numRef>
              <c:f>'Tabla dinámica 1'!$B$3:$H$3</c:f>
              <c:numCache/>
            </c:numRef>
          </c:val>
        </c:ser>
        <c:ser>
          <c:idx val="1"/>
          <c:order val="1"/>
          <c:tx>
            <c:strRef>
              <c:f>'Tabla dinámica 1'!$A$4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'Tabla dinámica 1'!$B$2:$H$2</c:f>
            </c:strRef>
          </c:cat>
          <c:val>
            <c:numRef>
              <c:f>'Tabla dinámica 1'!$B$4:$H$4</c:f>
              <c:numCache/>
            </c:numRef>
          </c:val>
        </c:ser>
        <c:ser>
          <c:idx val="2"/>
          <c:order val="2"/>
          <c:tx>
            <c:strRef>
              <c:f>'Tabla dinámica 1'!$A$5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'Tabla dinámica 1'!$B$2:$H$2</c:f>
            </c:strRef>
          </c:cat>
          <c:val>
            <c:numRef>
              <c:f>'Tabla dinámica 1'!$B$5:$H$5</c:f>
              <c:numCache/>
            </c:numRef>
          </c:val>
        </c:ser>
        <c:ser>
          <c:idx val="3"/>
          <c:order val="3"/>
          <c:tx>
            <c:strRef>
              <c:f>'Tabla dinámica 1'!$A$6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'Tabla dinámica 1'!$B$2:$H$2</c:f>
            </c:strRef>
          </c:cat>
          <c:val>
            <c:numRef>
              <c:f>'Tabla dinámica 1'!$B$6:$H$6</c:f>
              <c:numCache/>
            </c:numRef>
          </c:val>
        </c:ser>
        <c:overlap val="100"/>
        <c:axId val="1543574434"/>
        <c:axId val="1397872267"/>
      </c:barChart>
      <c:catAx>
        <c:axId val="15435744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7872267"/>
      </c:catAx>
      <c:valAx>
        <c:axId val="1397872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35744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561975</xdr:colOff>
      <xdr:row>7</xdr:row>
      <xdr:rowOff>28575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1" sheet="Ventas"/>
  </cacheSource>
  <cacheFields>
    <cacheField name="ID_Ticket" numFmtId="0">
      <sharedItems>
        <s v="TK-1063"/>
        <s v="TK-1035"/>
        <s v="TK-1028"/>
        <s v="TK-1085"/>
        <s v="TK-1045"/>
        <s v="TK-1042"/>
        <s v="TK-1068"/>
        <s v="TK-1061"/>
        <s v="TK-1001"/>
        <s v="TK-1034"/>
        <s v="TK-1031"/>
        <s v="TK-1019"/>
        <s v="TK-1066"/>
        <s v="TK-1049"/>
        <s v="TK-1026"/>
        <s v="TK-1050"/>
        <s v="TK-1094"/>
        <s v="TK-1073"/>
        <s v="TK-1011"/>
        <s v="TK-1088"/>
        <s v="TK-1032"/>
        <s v="TK-1030"/>
        <s v="TK-1077"/>
        <s v="TK-1089"/>
        <s v="TK-1091"/>
        <s v="TK-1029"/>
        <s v="TK-1002"/>
        <s v="TK-1036"/>
        <s v="TK-1048"/>
        <s v="TK-1053"/>
        <s v="TK-1005"/>
        <s v="TK-1022"/>
        <s v="TK-1093"/>
        <s v="TK-1010"/>
        <s v="TK-1065"/>
        <s v="TK-1086"/>
        <s v="TK-1064"/>
        <s v="TK-1069"/>
        <s v="TK-1071"/>
        <s v="TK-1059"/>
        <s v="TK-1024"/>
        <s v="TK-1092"/>
        <s v="TK-1023"/>
        <s v="TK-1020"/>
        <s v="TK-1060"/>
        <s v="TK-1027"/>
        <s v="TK-1003"/>
        <s v="TK-1084"/>
        <s v="TK-1090"/>
        <s v="TK-1046"/>
        <s v="TK-1021"/>
        <s v="TK-1040"/>
        <s v="TK-1067"/>
        <s v="TK-1017"/>
        <s v="TK-1082"/>
        <s v="TK-1075"/>
        <s v="TK-1100"/>
        <s v="TK-1041"/>
        <s v="TK-1099"/>
        <s v="TK-1033"/>
        <s v="TK-1080"/>
        <s v="TK-1083"/>
        <s v="TK-1037"/>
        <s v="TK-1016"/>
        <s v="TK-1096"/>
        <s v="TK-1009"/>
        <s v="TK-1007"/>
        <s v="TK-1055"/>
        <s v="TK-1051"/>
        <s v="TK-1013"/>
        <s v="TK-1062"/>
        <s v="TK-1015"/>
        <s v="TK-1008"/>
        <s v="TK-1052"/>
        <s v="TK-1076"/>
        <s v="TK-1078"/>
        <s v="TK-1079"/>
        <s v="TK-1098"/>
        <s v="TK-1097"/>
        <s v="TK-1081"/>
        <s v="TK-1070"/>
        <s v="TK-1043"/>
        <s v="TK-1038"/>
        <s v="TK-1074"/>
        <s v="TK-1006"/>
        <s v="TK-1058"/>
        <s v="TK-1044"/>
        <s v="TK-1072"/>
        <s v="TK-1018"/>
        <s v="TK-1056"/>
        <s v="TK-1004"/>
        <s v="TK-1054"/>
        <s v="TK-1014"/>
        <s v="TK-1095"/>
        <s v="TK-1047"/>
        <s v="TK-1039"/>
        <s v="TK-1057"/>
        <s v="TK-1012"/>
        <s v="TK-1087"/>
        <s v="TK-1025"/>
      </sharedItems>
    </cacheField>
    <cacheField name="Fecha" numFmtId="0">
      <sharedItems>
        <s v="2026-09-01"/>
        <s v="2026-09-02"/>
        <s v="2026-09-03"/>
        <s v="2026-09-04"/>
        <s v="2026-09-05"/>
        <s v="2026-09-07"/>
        <s v="2026-09-08"/>
        <s v="2026-09-09"/>
        <s v="2026-09-10"/>
        <s v="2026-09-11"/>
        <s v="2026-09-12"/>
        <s v="2026-09-13"/>
        <s v="2026-09-14"/>
        <s v="2026-09-15"/>
        <s v="2026-09-16"/>
        <s v="2026-09-17"/>
        <s v="2026-09-18"/>
        <s v="2026-09-19"/>
        <s v="2026-09-20"/>
        <s v="2026-09-21"/>
        <s v="2026-09-22"/>
        <s v="2026-09-23"/>
        <s v="2026-09-25"/>
        <s v="2026-09-26"/>
        <s v="2026-09-27"/>
        <s v="2026-09-28"/>
        <s v="2026-09-29"/>
        <s v="2026-09-30"/>
        <s v="2026-10-01"/>
      </sharedItems>
    </cacheField>
    <cacheField name="ID_Producto" numFmtId="0">
      <sharedItems>
        <s v="PROD-06"/>
        <s v="PROD-04"/>
        <s v="PROD-01"/>
        <s v="PROD-03"/>
        <s v="PROD-08"/>
        <s v="PROD-05"/>
        <s v="PROD-07"/>
        <s v="PROD-02"/>
      </sharedItems>
    </cacheField>
    <cacheField name="Canal" numFmtId="0">
      <sharedItems>
        <s v="Mostrador"/>
        <s v="Uber"/>
        <s v="Rappi"/>
        <s v="Web"/>
      </sharedItems>
    </cacheField>
    <cacheField name="Cantidad" numFmtId="0">
      <sharedItems containsSemiMixedTypes="0" containsString="0" containsNumber="1" containsInteger="1">
        <n v="1.0"/>
        <n v="3.0"/>
        <n v="2.0"/>
      </sharedItems>
    </cacheField>
    <cacheField name="Articulo" numFmtId="0">
      <sharedItems>
        <s v="Aceite Sintético"/>
        <s v="Mochila Impermeable"/>
        <s v="Espejos Retrovisores"/>
        <s v="Guantes Touchscreen"/>
        <s v="Alforjas Laterales"/>
        <s v="Casco Cerrado"/>
        <s v="Llantas Deportivas"/>
        <s v="Posa Pies Delanteros"/>
      </sharedItems>
    </cacheField>
    <cacheField name="Marca" numFmtId="0">
      <sharedItems>
        <s v="Motul"/>
        <s v="BikerPro"/>
        <s v="Kawasaki"/>
        <s v="Ruta66"/>
        <s v="LS2"/>
        <s v="Michelin"/>
        <s v="Italika"/>
      </sharedItems>
    </cacheField>
    <cacheField name="Precio" numFmtId="164">
      <sharedItems containsSemiMixedTypes="0" containsString="0" containsNumber="1" containsInteger="1">
        <n v="350.0"/>
        <n v="950.0"/>
        <n v="1200.0"/>
        <n v="600.0"/>
        <n v="1800.0"/>
        <n v="2500.0"/>
        <n v="3200.0"/>
        <n v="450.0"/>
      </sharedItems>
    </cacheField>
    <cacheField name="Subtotal" numFmtId="164">
      <sharedItems containsSemiMixedTypes="0" containsString="0" containsNumber="1" containsInteger="1">
        <n v="350.0"/>
        <n v="2850.0"/>
        <n v="700.0"/>
        <n v="2400.0"/>
        <n v="1200.0"/>
        <n v="1900.0"/>
        <n v="5400.0"/>
        <n v="5000.0"/>
        <n v="3200.0"/>
        <n v="3600.0"/>
        <n v="2500.0"/>
        <n v="1800.0"/>
        <n v="600.0"/>
        <n v="9600.0"/>
        <n v="1350.0"/>
        <n v="7500.0"/>
        <n v="1050.0"/>
        <n v="6400.0"/>
        <n v="450.0"/>
        <n v="900.0"/>
        <n v="950.0"/>
      </sharedItems>
    </cacheField>
    <cacheField name="Descuento">
      <sharedItems containsMixedTypes="1" containsNumber="1" containsInteger="1">
        <s v="0"/>
        <n v="285.0"/>
        <n v="240.0"/>
        <n v="540.0"/>
        <n v="500.0"/>
        <n v="320.0"/>
        <n v="360.0"/>
        <n v="250.0"/>
        <n v="960.0"/>
        <n v="750.0"/>
        <n v="640.0"/>
      </sharedItems>
    </cacheField>
    <cacheField name="Venta Neta" numFmtId="164">
      <sharedItems containsSemiMixedTypes="0" containsString="0" containsNumber="1" containsInteger="1">
        <n v="350.0"/>
        <n v="2565.0"/>
        <n v="700.0"/>
        <n v="2160.0"/>
        <n v="1200.0"/>
        <n v="1900.0"/>
        <n v="4860.0"/>
        <n v="4500.0"/>
        <n v="2880.0"/>
        <n v="3240.0"/>
        <n v="2250.0"/>
        <n v="1800.0"/>
        <n v="600.0"/>
        <n v="8640.0"/>
        <n v="1350.0"/>
        <n v="6750.0"/>
        <n v="1050.0"/>
        <n v="5760.0"/>
        <n v="450.0"/>
        <n v="900.0"/>
        <n v="95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I7" firstHeaderRow="0" firstDataRow="1" firstDataCol="1"/>
  <pivotFields>
    <pivotField name="ID_Tic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nal" axis="axisRow" compact="0" outline="0" multipleItemSelectionAllowed="1" showAll="0" sortType="ascending">
      <items>
        <item x="0"/>
        <item x="2"/>
        <item x="1"/>
        <item x="3"/>
        <item t="default"/>
      </items>
    </pivotField>
    <pivotField name="Cantidad" compact="0" outline="0" multipleItemSelectionAllowed="1" showAll="0">
      <items>
        <item x="0"/>
        <item x="1"/>
        <item x="2"/>
        <item t="default"/>
      </items>
    </pivotField>
    <pivotField name="Articul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arca" axis="axisCol" compact="0" outline="0" multipleItemSelectionAllowed="1" showAll="0" sortType="ascending">
      <items>
        <item x="1"/>
        <item x="6"/>
        <item x="2"/>
        <item x="4"/>
        <item x="5"/>
        <item x="0"/>
        <item x="3"/>
        <item t="default"/>
      </items>
    </pivotField>
    <pivotField name="Preci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ub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Descu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enta Ne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3"/>
  </rowFields>
  <colFields>
    <field x="6"/>
  </colFields>
  <dataFields>
    <dataField name="SUM of Venta Neta" fld="10" baseField="0"/>
  </dataFields>
</pivotTableDefinition>
</file>

<file path=xl/tables/table1.xml><?xml version="1.0" encoding="utf-8"?>
<table xmlns="http://schemas.openxmlformats.org/spreadsheetml/2006/main" ref="A1:D9" displayName="DimProductos" name="DimProductos" id="2">
  <tableColumns count="4">
    <tableColumn name="ID_Producto" id="1"/>
    <tableColumn name="Articulo" id="2"/>
    <tableColumn name="Marca" id="3"/>
    <tableColumn name="Precio_Unitario" id="4"/>
  </tableColumns>
  <tableStyleInfo name="Catálogo-style" showColumnStripes="0" showFirstColumn="1" showLastColumn="1" showRowStripes="1"/>
</table>
</file>

<file path=xl/tables/table2.xml><?xml version="1.0" encoding="utf-8"?>
<table xmlns="http://schemas.openxmlformats.org/spreadsheetml/2006/main" ref="A1:K101" displayName="FactVentas" name="FactVentas" id="1">
  <tableColumns count="11">
    <tableColumn name="ID_Ticket" id="1"/>
    <tableColumn name="Fecha" id="2"/>
    <tableColumn name="ID_Producto" id="3"/>
    <tableColumn name="Canal" id="4"/>
    <tableColumn name="Cantidad" id="5"/>
    <tableColumn name="Articulo" id="6"/>
    <tableColumn name="Marca" id="7"/>
    <tableColumn name="Precio" id="8"/>
    <tableColumn name="Subtotal" id="9"/>
    <tableColumn name="Descuento" id="10"/>
    <tableColumn name="Venta Neta" id="11"/>
  </tableColumns>
  <tableStyleInfo name="Ven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26" width="8.71"/>
  </cols>
  <sheetData>
    <row r="1">
      <c r="A1" s="1" t="s">
        <v>0</v>
      </c>
    </row>
    <row r="3">
      <c r="A3" s="2" t="s">
        <v>1</v>
      </c>
    </row>
    <row r="4">
      <c r="A4" s="2" t="s">
        <v>2</v>
      </c>
    </row>
    <row r="5">
      <c r="A5" s="2"/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0.0"/>
    <col customWidth="1" min="5" max="26" width="8.71"/>
  </cols>
  <sheetData>
    <row r="1">
      <c r="A1" s="3" t="s">
        <v>12</v>
      </c>
      <c r="B1" s="3" t="s">
        <v>15</v>
      </c>
      <c r="C1" s="3" t="s">
        <v>16</v>
      </c>
      <c r="D1" s="3" t="s">
        <v>19</v>
      </c>
    </row>
    <row r="2">
      <c r="A2" s="5" t="s">
        <v>20</v>
      </c>
      <c r="B2" s="5" t="s">
        <v>22</v>
      </c>
      <c r="C2" s="5" t="s">
        <v>24</v>
      </c>
      <c r="D2" s="6">
        <v>1200.0</v>
      </c>
    </row>
    <row r="3">
      <c r="A3" s="5" t="s">
        <v>28</v>
      </c>
      <c r="B3" s="5" t="s">
        <v>30</v>
      </c>
      <c r="C3" s="5" t="s">
        <v>32</v>
      </c>
      <c r="D3" s="6">
        <v>450.0</v>
      </c>
    </row>
    <row r="4">
      <c r="A4" s="5" t="s">
        <v>35</v>
      </c>
      <c r="B4" s="5" t="s">
        <v>37</v>
      </c>
      <c r="C4" s="5" t="s">
        <v>38</v>
      </c>
      <c r="D4" s="6">
        <v>600.0</v>
      </c>
    </row>
    <row r="5">
      <c r="A5" s="5" t="s">
        <v>39</v>
      </c>
      <c r="B5" s="5" t="s">
        <v>40</v>
      </c>
      <c r="C5" s="5" t="s">
        <v>38</v>
      </c>
      <c r="D5" s="6">
        <v>950.0</v>
      </c>
    </row>
    <row r="6">
      <c r="A6" s="5" t="s">
        <v>41</v>
      </c>
      <c r="B6" s="5" t="s">
        <v>42</v>
      </c>
      <c r="C6" s="5" t="s">
        <v>43</v>
      </c>
      <c r="D6" s="6">
        <v>2500.0</v>
      </c>
    </row>
    <row r="7">
      <c r="A7" s="5" t="s">
        <v>34</v>
      </c>
      <c r="B7" s="5" t="s">
        <v>44</v>
      </c>
      <c r="C7" s="5" t="s">
        <v>45</v>
      </c>
      <c r="D7" s="6">
        <v>350.0</v>
      </c>
    </row>
    <row r="8">
      <c r="A8" s="5" t="s">
        <v>46</v>
      </c>
      <c r="B8" s="5" t="s">
        <v>47</v>
      </c>
      <c r="C8" s="5" t="s">
        <v>48</v>
      </c>
      <c r="D8" s="6">
        <v>3200.0</v>
      </c>
    </row>
    <row r="9">
      <c r="A9" s="5" t="s">
        <v>49</v>
      </c>
      <c r="B9" s="5" t="s">
        <v>50</v>
      </c>
      <c r="C9" s="5" t="s">
        <v>51</v>
      </c>
      <c r="D9" s="6">
        <v>1800.0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BCC1B91-4A52-40C9-8E59-32621FD06164}" filter="1" showAutoFilter="1">
      <autoFilter ref="$A$1:$D$9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5.0"/>
    <col customWidth="1" min="6" max="6" width="19.71"/>
    <col customWidth="1" min="7" max="7" width="11.86"/>
    <col customWidth="1" min="8" max="8" width="10.86"/>
    <col customWidth="1" min="9" max="9" width="12.57"/>
    <col customWidth="1" min="10" max="10" width="16.43"/>
    <col customWidth="1" min="11" max="11" width="13.57"/>
    <col customWidth="1" min="12" max="13" width="8.71"/>
    <col customWidth="1" min="14" max="14" width="12.71"/>
    <col customWidth="1" min="15" max="26" width="8.71"/>
  </cols>
  <sheetData>
    <row r="1">
      <c r="A1" s="3" t="s">
        <v>13</v>
      </c>
      <c r="B1" s="3" t="s">
        <v>14</v>
      </c>
      <c r="C1" s="3" t="s">
        <v>12</v>
      </c>
      <c r="D1" s="3" t="s">
        <v>17</v>
      </c>
      <c r="E1" s="3" t="s">
        <v>18</v>
      </c>
      <c r="F1" s="4" t="s">
        <v>15</v>
      </c>
      <c r="G1" s="4" t="s">
        <v>16</v>
      </c>
      <c r="H1" s="4" t="s">
        <v>21</v>
      </c>
      <c r="I1" s="4" t="s">
        <v>23</v>
      </c>
      <c r="J1" s="4" t="s">
        <v>25</v>
      </c>
      <c r="K1" s="4" t="s">
        <v>26</v>
      </c>
      <c r="N1" s="7" t="s">
        <v>27</v>
      </c>
      <c r="O1" s="7" t="s">
        <v>29</v>
      </c>
    </row>
    <row r="2">
      <c r="A2" s="5" t="s">
        <v>31</v>
      </c>
      <c r="B2" s="5" t="s">
        <v>33</v>
      </c>
      <c r="C2" s="5" t="s">
        <v>34</v>
      </c>
      <c r="D2" s="5" t="s">
        <v>36</v>
      </c>
      <c r="E2" s="5">
        <v>1.0</v>
      </c>
      <c r="F2" s="8" t="str">
        <f t="array" ref="F2:H2">XLOOKUP(C2,DimProductos[ID_Producto],DimProductos[[Articulo]:[Precio_Unitario]])</f>
        <v>Aceite Sintético</v>
      </c>
      <c r="G2" s="8" t="s">
        <v>45</v>
      </c>
      <c r="H2" s="9">
        <v>350.0</v>
      </c>
      <c r="I2" s="10">
        <f t="shared" ref="I2:I101" si="1">E2*H2</f>
        <v>350</v>
      </c>
      <c r="J2" s="11" t="str">
        <f t="shared" ref="J2:J101" si="2">IF(I2&gt;2000,I2*0.1,"0")</f>
        <v>0</v>
      </c>
      <c r="K2" s="10">
        <f t="shared" ref="K2:K101" si="3">I2-J2</f>
        <v>350</v>
      </c>
      <c r="N2" s="12">
        <f>sumif(FactVentas[Marca],"Italika",FactVentas[Venta Neta])</f>
        <v>16200</v>
      </c>
      <c r="O2" s="13">
        <f>countif(FactVentas[Canal], $O$1)</f>
        <v>24</v>
      </c>
    </row>
    <row r="3">
      <c r="A3" s="5" t="s">
        <v>52</v>
      </c>
      <c r="B3" s="5" t="s">
        <v>33</v>
      </c>
      <c r="C3" s="5" t="s">
        <v>39</v>
      </c>
      <c r="D3" s="5" t="s">
        <v>53</v>
      </c>
      <c r="E3" s="5">
        <v>3.0</v>
      </c>
      <c r="F3" s="8" t="str">
        <f t="array" ref="F3:H3">XLOOKUP(C3,DimProductos[ID_Producto],DimProductos[[Articulo]:[Precio_Unitario]])</f>
        <v>Mochila Impermeable</v>
      </c>
      <c r="G3" s="8" t="s">
        <v>38</v>
      </c>
      <c r="H3" s="9">
        <v>950.0</v>
      </c>
      <c r="I3" s="10">
        <f t="shared" si="1"/>
        <v>2850</v>
      </c>
      <c r="J3" s="11">
        <f t="shared" si="2"/>
        <v>285</v>
      </c>
      <c r="K3" s="10">
        <f t="shared" si="3"/>
        <v>2565</v>
      </c>
    </row>
    <row r="4">
      <c r="A4" s="5" t="s">
        <v>54</v>
      </c>
      <c r="B4" s="5" t="s">
        <v>33</v>
      </c>
      <c r="C4" s="5" t="s">
        <v>34</v>
      </c>
      <c r="D4" s="5" t="s">
        <v>53</v>
      </c>
      <c r="E4" s="5">
        <v>2.0</v>
      </c>
      <c r="F4" s="8" t="str">
        <f t="array" ref="F4:H4">XLOOKUP(C4,DimProductos[ID_Producto],DimProductos[[Articulo]:[Precio_Unitario]])</f>
        <v>Aceite Sintético</v>
      </c>
      <c r="G4" s="8" t="s">
        <v>45</v>
      </c>
      <c r="H4" s="9">
        <v>350.0</v>
      </c>
      <c r="I4" s="10">
        <f t="shared" si="1"/>
        <v>700</v>
      </c>
      <c r="J4" s="11" t="str">
        <f t="shared" si="2"/>
        <v>0</v>
      </c>
      <c r="K4" s="10">
        <f t="shared" si="3"/>
        <v>700</v>
      </c>
    </row>
    <row r="5">
      <c r="A5" s="5" t="s">
        <v>55</v>
      </c>
      <c r="B5" s="5" t="s">
        <v>56</v>
      </c>
      <c r="C5" s="5" t="s">
        <v>20</v>
      </c>
      <c r="D5" s="5" t="s">
        <v>53</v>
      </c>
      <c r="E5" s="5">
        <v>2.0</v>
      </c>
      <c r="F5" s="8" t="str">
        <f t="array" ref="F5:H5">XLOOKUP(C5,DimProductos[ID_Producto],DimProductos[[Articulo]:[Precio_Unitario]])</f>
        <v>Espejos Retrovisores</v>
      </c>
      <c r="G5" s="8" t="s">
        <v>24</v>
      </c>
      <c r="H5" s="9">
        <v>1200.0</v>
      </c>
      <c r="I5" s="10">
        <f t="shared" si="1"/>
        <v>2400</v>
      </c>
      <c r="J5" s="11">
        <f t="shared" si="2"/>
        <v>240</v>
      </c>
      <c r="K5" s="10">
        <f t="shared" si="3"/>
        <v>2160</v>
      </c>
    </row>
    <row r="6">
      <c r="A6" s="5" t="s">
        <v>57</v>
      </c>
      <c r="B6" s="5" t="s">
        <v>56</v>
      </c>
      <c r="C6" s="5" t="s">
        <v>35</v>
      </c>
      <c r="D6" s="5" t="s">
        <v>29</v>
      </c>
      <c r="E6" s="5">
        <v>2.0</v>
      </c>
      <c r="F6" s="8" t="str">
        <f t="array" ref="F6:H6">XLOOKUP(C6,DimProductos[ID_Producto],DimProductos[[Articulo]:[Precio_Unitario]])</f>
        <v>Guantes Touchscreen</v>
      </c>
      <c r="G6" s="8" t="s">
        <v>38</v>
      </c>
      <c r="H6" s="9">
        <v>600.0</v>
      </c>
      <c r="I6" s="10">
        <f t="shared" si="1"/>
        <v>1200</v>
      </c>
      <c r="J6" s="11" t="str">
        <f t="shared" si="2"/>
        <v>0</v>
      </c>
      <c r="K6" s="10">
        <f t="shared" si="3"/>
        <v>1200</v>
      </c>
    </row>
    <row r="7">
      <c r="A7" s="5" t="s">
        <v>58</v>
      </c>
      <c r="B7" s="5" t="s">
        <v>56</v>
      </c>
      <c r="C7" s="5" t="s">
        <v>39</v>
      </c>
      <c r="D7" s="5" t="s">
        <v>59</v>
      </c>
      <c r="E7" s="5">
        <v>2.0</v>
      </c>
      <c r="F7" s="8" t="str">
        <f t="array" ref="F7:H7">XLOOKUP(C7,DimProductos[ID_Producto],DimProductos[[Articulo]:[Precio_Unitario]])</f>
        <v>Mochila Impermeable</v>
      </c>
      <c r="G7" s="8" t="s">
        <v>38</v>
      </c>
      <c r="H7" s="9">
        <v>950.0</v>
      </c>
      <c r="I7" s="10">
        <f t="shared" si="1"/>
        <v>1900</v>
      </c>
      <c r="J7" s="11" t="str">
        <f t="shared" si="2"/>
        <v>0</v>
      </c>
      <c r="K7" s="10">
        <f t="shared" si="3"/>
        <v>1900</v>
      </c>
    </row>
    <row r="8">
      <c r="A8" s="5" t="s">
        <v>60</v>
      </c>
      <c r="B8" s="5" t="s">
        <v>61</v>
      </c>
      <c r="C8" s="5" t="s">
        <v>49</v>
      </c>
      <c r="D8" s="5" t="s">
        <v>53</v>
      </c>
      <c r="E8" s="5">
        <v>3.0</v>
      </c>
      <c r="F8" s="8" t="str">
        <f t="array" ref="F8:H8">XLOOKUP(C8,DimProductos[ID_Producto],DimProductos[[Articulo]:[Precio_Unitario]])</f>
        <v>Alforjas Laterales</v>
      </c>
      <c r="G8" s="8" t="s">
        <v>51</v>
      </c>
      <c r="H8" s="9">
        <v>1800.0</v>
      </c>
      <c r="I8" s="10">
        <f t="shared" si="1"/>
        <v>5400</v>
      </c>
      <c r="J8" s="11">
        <f t="shared" si="2"/>
        <v>540</v>
      </c>
      <c r="K8" s="10">
        <f t="shared" si="3"/>
        <v>4860</v>
      </c>
    </row>
    <row r="9">
      <c r="A9" s="5" t="s">
        <v>64</v>
      </c>
      <c r="B9" s="5" t="s">
        <v>61</v>
      </c>
      <c r="C9" s="5" t="s">
        <v>41</v>
      </c>
      <c r="D9" s="5" t="s">
        <v>29</v>
      </c>
      <c r="E9" s="5">
        <v>2.0</v>
      </c>
      <c r="F9" s="8" t="str">
        <f t="array" ref="F9:H9">XLOOKUP(C9,DimProductos[ID_Producto],DimProductos[[Articulo]:[Precio_Unitario]])</f>
        <v>Casco Cerrado</v>
      </c>
      <c r="G9" s="8" t="s">
        <v>43</v>
      </c>
      <c r="H9" s="9">
        <v>2500.0</v>
      </c>
      <c r="I9" s="10">
        <f t="shared" si="1"/>
        <v>5000</v>
      </c>
      <c r="J9" s="11">
        <f t="shared" si="2"/>
        <v>500</v>
      </c>
      <c r="K9" s="10">
        <f t="shared" si="3"/>
        <v>4500</v>
      </c>
    </row>
    <row r="10">
      <c r="A10" s="5" t="s">
        <v>65</v>
      </c>
      <c r="B10" s="5" t="s">
        <v>66</v>
      </c>
      <c r="C10" s="5" t="s">
        <v>39</v>
      </c>
      <c r="D10" s="5" t="s">
        <v>53</v>
      </c>
      <c r="E10" s="5">
        <v>3.0</v>
      </c>
      <c r="F10" s="8" t="str">
        <f t="array" ref="F10:H10">XLOOKUP(C10,DimProductos[ID_Producto],DimProductos[[Articulo]:[Precio_Unitario]])</f>
        <v>Mochila Impermeable</v>
      </c>
      <c r="G10" s="8" t="s">
        <v>38</v>
      </c>
      <c r="H10" s="9">
        <v>950.0</v>
      </c>
      <c r="I10" s="10">
        <f t="shared" si="1"/>
        <v>2850</v>
      </c>
      <c r="J10" s="11">
        <f t="shared" si="2"/>
        <v>285</v>
      </c>
      <c r="K10" s="10">
        <f t="shared" si="3"/>
        <v>2565</v>
      </c>
    </row>
    <row r="11">
      <c r="A11" s="5" t="s">
        <v>67</v>
      </c>
      <c r="B11" s="5" t="s">
        <v>66</v>
      </c>
      <c r="C11" s="5" t="s">
        <v>20</v>
      </c>
      <c r="D11" s="5" t="s">
        <v>29</v>
      </c>
      <c r="E11" s="5">
        <v>1.0</v>
      </c>
      <c r="F11" s="8" t="str">
        <f t="array" ref="F11:H11">XLOOKUP(C11,DimProductos[ID_Producto],DimProductos[[Articulo]:[Precio_Unitario]])</f>
        <v>Espejos Retrovisores</v>
      </c>
      <c r="G11" s="8" t="s">
        <v>24</v>
      </c>
      <c r="H11" s="9">
        <v>1200.0</v>
      </c>
      <c r="I11" s="10">
        <f t="shared" si="1"/>
        <v>1200</v>
      </c>
      <c r="J11" s="11" t="str">
        <f t="shared" si="2"/>
        <v>0</v>
      </c>
      <c r="K11" s="10">
        <f t="shared" si="3"/>
        <v>1200</v>
      </c>
    </row>
    <row r="12">
      <c r="A12" s="5" t="s">
        <v>68</v>
      </c>
      <c r="B12" s="5" t="s">
        <v>66</v>
      </c>
      <c r="C12" s="5" t="s">
        <v>46</v>
      </c>
      <c r="D12" s="5" t="s">
        <v>36</v>
      </c>
      <c r="E12" s="5">
        <v>1.0</v>
      </c>
      <c r="F12" s="8" t="str">
        <f t="array" ref="F12:H12">XLOOKUP(C12,DimProductos[ID_Producto],DimProductos[[Articulo]:[Precio_Unitario]])</f>
        <v>Llantas Deportivas</v>
      </c>
      <c r="G12" s="8" t="s">
        <v>48</v>
      </c>
      <c r="H12" s="9">
        <v>3200.0</v>
      </c>
      <c r="I12" s="10">
        <f t="shared" si="1"/>
        <v>3200</v>
      </c>
      <c r="J12" s="11">
        <f t="shared" si="2"/>
        <v>320</v>
      </c>
      <c r="K12" s="10">
        <f t="shared" si="3"/>
        <v>2880</v>
      </c>
    </row>
    <row r="13">
      <c r="A13" s="5" t="s">
        <v>69</v>
      </c>
      <c r="B13" s="5" t="s">
        <v>66</v>
      </c>
      <c r="C13" s="5" t="s">
        <v>20</v>
      </c>
      <c r="D13" s="5" t="s">
        <v>29</v>
      </c>
      <c r="E13" s="5">
        <v>3.0</v>
      </c>
      <c r="F13" s="8" t="str">
        <f t="array" ref="F13:H13">XLOOKUP(C13,DimProductos[ID_Producto],DimProductos[[Articulo]:[Precio_Unitario]])</f>
        <v>Espejos Retrovisores</v>
      </c>
      <c r="G13" s="8" t="s">
        <v>24</v>
      </c>
      <c r="H13" s="9">
        <v>1200.0</v>
      </c>
      <c r="I13" s="10">
        <f t="shared" si="1"/>
        <v>3600</v>
      </c>
      <c r="J13" s="11">
        <f t="shared" si="2"/>
        <v>360</v>
      </c>
      <c r="K13" s="10">
        <f t="shared" si="3"/>
        <v>3240</v>
      </c>
    </row>
    <row r="14">
      <c r="A14" s="5" t="s">
        <v>70</v>
      </c>
      <c r="B14" s="5" t="s">
        <v>71</v>
      </c>
      <c r="C14" s="5" t="s">
        <v>41</v>
      </c>
      <c r="D14" s="5" t="s">
        <v>53</v>
      </c>
      <c r="E14" s="5">
        <v>1.0</v>
      </c>
      <c r="F14" s="8" t="str">
        <f t="array" ref="F14:H14">XLOOKUP(C14,DimProductos[ID_Producto],DimProductos[[Articulo]:[Precio_Unitario]])</f>
        <v>Casco Cerrado</v>
      </c>
      <c r="G14" s="8" t="s">
        <v>43</v>
      </c>
      <c r="H14" s="9">
        <v>2500.0</v>
      </c>
      <c r="I14" s="10">
        <f t="shared" si="1"/>
        <v>2500</v>
      </c>
      <c r="J14" s="11">
        <f t="shared" si="2"/>
        <v>250</v>
      </c>
      <c r="K14" s="10">
        <f t="shared" si="3"/>
        <v>2250</v>
      </c>
    </row>
    <row r="15">
      <c r="A15" s="5" t="s">
        <v>72</v>
      </c>
      <c r="B15" s="5" t="s">
        <v>71</v>
      </c>
      <c r="C15" s="5" t="s">
        <v>49</v>
      </c>
      <c r="D15" s="5" t="s">
        <v>29</v>
      </c>
      <c r="E15" s="5">
        <v>1.0</v>
      </c>
      <c r="F15" s="8" t="str">
        <f t="array" ref="F15:H15">XLOOKUP(C15,DimProductos[ID_Producto],DimProductos[[Articulo]:[Precio_Unitario]])</f>
        <v>Alforjas Laterales</v>
      </c>
      <c r="G15" s="8" t="s">
        <v>51</v>
      </c>
      <c r="H15" s="9">
        <v>1800.0</v>
      </c>
      <c r="I15" s="10">
        <f t="shared" si="1"/>
        <v>1800</v>
      </c>
      <c r="J15" s="11" t="str">
        <f t="shared" si="2"/>
        <v>0</v>
      </c>
      <c r="K15" s="10">
        <f t="shared" si="3"/>
        <v>1800</v>
      </c>
    </row>
    <row r="16">
      <c r="A16" s="5" t="s">
        <v>73</v>
      </c>
      <c r="B16" s="5" t="s">
        <v>71</v>
      </c>
      <c r="C16" s="5" t="s">
        <v>49</v>
      </c>
      <c r="D16" s="5" t="s">
        <v>53</v>
      </c>
      <c r="E16" s="5">
        <v>3.0</v>
      </c>
      <c r="F16" s="8" t="str">
        <f t="array" ref="F16:H16">XLOOKUP(C16,DimProductos[ID_Producto],DimProductos[[Articulo]:[Precio_Unitario]])</f>
        <v>Alforjas Laterales</v>
      </c>
      <c r="G16" s="8" t="s">
        <v>51</v>
      </c>
      <c r="H16" s="9">
        <v>1800.0</v>
      </c>
      <c r="I16" s="10">
        <f t="shared" si="1"/>
        <v>5400</v>
      </c>
      <c r="J16" s="11">
        <f t="shared" si="2"/>
        <v>540</v>
      </c>
      <c r="K16" s="10">
        <f t="shared" si="3"/>
        <v>4860</v>
      </c>
    </row>
    <row r="17">
      <c r="A17" s="5" t="s">
        <v>74</v>
      </c>
      <c r="B17" s="5" t="s">
        <v>71</v>
      </c>
      <c r="C17" s="5" t="s">
        <v>35</v>
      </c>
      <c r="D17" s="5" t="s">
        <v>29</v>
      </c>
      <c r="E17" s="5">
        <v>1.0</v>
      </c>
      <c r="F17" s="8" t="str">
        <f t="array" ref="F17:H17">XLOOKUP(C17,DimProductos[ID_Producto],DimProductos[[Articulo]:[Precio_Unitario]])</f>
        <v>Guantes Touchscreen</v>
      </c>
      <c r="G17" s="8" t="s">
        <v>38</v>
      </c>
      <c r="H17" s="9">
        <v>600.0</v>
      </c>
      <c r="I17" s="10">
        <f t="shared" si="1"/>
        <v>600</v>
      </c>
      <c r="J17" s="11" t="str">
        <f t="shared" si="2"/>
        <v>0</v>
      </c>
      <c r="K17" s="10">
        <f t="shared" si="3"/>
        <v>600</v>
      </c>
    </row>
    <row r="18">
      <c r="A18" s="5" t="s">
        <v>75</v>
      </c>
      <c r="B18" s="5" t="s">
        <v>76</v>
      </c>
      <c r="C18" s="5" t="s">
        <v>39</v>
      </c>
      <c r="D18" s="5" t="s">
        <v>36</v>
      </c>
      <c r="E18" s="5">
        <v>3.0</v>
      </c>
      <c r="F18" s="8" t="str">
        <f t="array" ref="F18:H18">XLOOKUP(C18,DimProductos[ID_Producto],DimProductos[[Articulo]:[Precio_Unitario]])</f>
        <v>Mochila Impermeable</v>
      </c>
      <c r="G18" s="8" t="s">
        <v>38</v>
      </c>
      <c r="H18" s="9">
        <v>950.0</v>
      </c>
      <c r="I18" s="10">
        <f t="shared" si="1"/>
        <v>2850</v>
      </c>
      <c r="J18" s="11">
        <f t="shared" si="2"/>
        <v>285</v>
      </c>
      <c r="K18" s="10">
        <f t="shared" si="3"/>
        <v>2565</v>
      </c>
    </row>
    <row r="19">
      <c r="A19" s="5" t="s">
        <v>77</v>
      </c>
      <c r="B19" s="5" t="s">
        <v>76</v>
      </c>
      <c r="C19" s="5" t="s">
        <v>41</v>
      </c>
      <c r="D19" s="5" t="s">
        <v>36</v>
      </c>
      <c r="E19" s="5">
        <v>1.0</v>
      </c>
      <c r="F19" s="8" t="str">
        <f t="array" ref="F19:H19">XLOOKUP(C19,DimProductos[ID_Producto],DimProductos[[Articulo]:[Precio_Unitario]])</f>
        <v>Casco Cerrado</v>
      </c>
      <c r="G19" s="8" t="s">
        <v>43</v>
      </c>
      <c r="H19" s="9">
        <v>2500.0</v>
      </c>
      <c r="I19" s="10">
        <f t="shared" si="1"/>
        <v>2500</v>
      </c>
      <c r="J19" s="11">
        <f t="shared" si="2"/>
        <v>250</v>
      </c>
      <c r="K19" s="10">
        <f t="shared" si="3"/>
        <v>2250</v>
      </c>
    </row>
    <row r="20">
      <c r="A20" s="5" t="s">
        <v>78</v>
      </c>
      <c r="B20" s="5" t="s">
        <v>76</v>
      </c>
      <c r="C20" s="5" t="s">
        <v>46</v>
      </c>
      <c r="D20" s="5" t="s">
        <v>59</v>
      </c>
      <c r="E20" s="5">
        <v>3.0</v>
      </c>
      <c r="F20" s="8" t="str">
        <f t="array" ref="F20:H20">XLOOKUP(C20,DimProductos[ID_Producto],DimProductos[[Articulo]:[Precio_Unitario]])</f>
        <v>Llantas Deportivas</v>
      </c>
      <c r="G20" s="8" t="s">
        <v>48</v>
      </c>
      <c r="H20" s="9">
        <v>3200.0</v>
      </c>
      <c r="I20" s="10">
        <f t="shared" si="1"/>
        <v>9600</v>
      </c>
      <c r="J20" s="11">
        <f t="shared" si="2"/>
        <v>960</v>
      </c>
      <c r="K20" s="10">
        <f t="shared" si="3"/>
        <v>8640</v>
      </c>
    </row>
    <row r="21" ht="15.75" customHeight="1">
      <c r="A21" s="5" t="s">
        <v>79</v>
      </c>
      <c r="B21" s="5" t="s">
        <v>76</v>
      </c>
      <c r="C21" s="5" t="s">
        <v>28</v>
      </c>
      <c r="D21" s="5" t="s">
        <v>29</v>
      </c>
      <c r="E21" s="5">
        <v>3.0</v>
      </c>
      <c r="F21" s="8" t="str">
        <f t="array" ref="F21:H21">XLOOKUP(C21,DimProductos[ID_Producto],DimProductos[[Articulo]:[Precio_Unitario]])</f>
        <v>Posa Pies Delanteros</v>
      </c>
      <c r="G21" s="8" t="s">
        <v>32</v>
      </c>
      <c r="H21" s="9">
        <v>450.0</v>
      </c>
      <c r="I21" s="10">
        <f t="shared" si="1"/>
        <v>1350</v>
      </c>
      <c r="J21" s="11" t="str">
        <f t="shared" si="2"/>
        <v>0</v>
      </c>
      <c r="K21" s="10">
        <f t="shared" si="3"/>
        <v>1350</v>
      </c>
    </row>
    <row r="22" ht="15.75" customHeight="1">
      <c r="A22" s="5" t="s">
        <v>80</v>
      </c>
      <c r="B22" s="5" t="s">
        <v>76</v>
      </c>
      <c r="C22" s="5" t="s">
        <v>41</v>
      </c>
      <c r="D22" s="5" t="s">
        <v>36</v>
      </c>
      <c r="E22" s="5">
        <v>1.0</v>
      </c>
      <c r="F22" s="8" t="str">
        <f t="array" ref="F22:H22">XLOOKUP(C22,DimProductos[ID_Producto],DimProductos[[Articulo]:[Precio_Unitario]])</f>
        <v>Casco Cerrado</v>
      </c>
      <c r="G22" s="8" t="s">
        <v>43</v>
      </c>
      <c r="H22" s="9">
        <v>2500.0</v>
      </c>
      <c r="I22" s="10">
        <f t="shared" si="1"/>
        <v>2500</v>
      </c>
      <c r="J22" s="11">
        <f t="shared" si="2"/>
        <v>250</v>
      </c>
      <c r="K22" s="10">
        <f t="shared" si="3"/>
        <v>2250</v>
      </c>
    </row>
    <row r="23" ht="15.75" customHeight="1">
      <c r="A23" s="5" t="s">
        <v>81</v>
      </c>
      <c r="B23" s="5" t="s">
        <v>76</v>
      </c>
      <c r="C23" s="5" t="s">
        <v>20</v>
      </c>
      <c r="D23" s="5" t="s">
        <v>59</v>
      </c>
      <c r="E23" s="5">
        <v>2.0</v>
      </c>
      <c r="F23" s="8" t="str">
        <f t="array" ref="F23:H23">XLOOKUP(C23,DimProductos[ID_Producto],DimProductos[[Articulo]:[Precio_Unitario]])</f>
        <v>Espejos Retrovisores</v>
      </c>
      <c r="G23" s="8" t="s">
        <v>24</v>
      </c>
      <c r="H23" s="9">
        <v>1200.0</v>
      </c>
      <c r="I23" s="10">
        <f t="shared" si="1"/>
        <v>2400</v>
      </c>
      <c r="J23" s="11">
        <f t="shared" si="2"/>
        <v>240</v>
      </c>
      <c r="K23" s="10">
        <f t="shared" si="3"/>
        <v>2160</v>
      </c>
    </row>
    <row r="24" ht="15.75" customHeight="1">
      <c r="A24" s="5" t="s">
        <v>82</v>
      </c>
      <c r="B24" s="5" t="s">
        <v>83</v>
      </c>
      <c r="C24" s="5" t="s">
        <v>28</v>
      </c>
      <c r="D24" s="5" t="s">
        <v>36</v>
      </c>
      <c r="E24" s="5">
        <v>3.0</v>
      </c>
      <c r="F24" s="8" t="str">
        <f t="array" ref="F24:H24">XLOOKUP(C24,DimProductos[ID_Producto],DimProductos[[Articulo]:[Precio_Unitario]])</f>
        <v>Posa Pies Delanteros</v>
      </c>
      <c r="G24" s="8" t="s">
        <v>32</v>
      </c>
      <c r="H24" s="9">
        <v>450.0</v>
      </c>
      <c r="I24" s="10">
        <f t="shared" si="1"/>
        <v>1350</v>
      </c>
      <c r="J24" s="11" t="str">
        <f t="shared" si="2"/>
        <v>0</v>
      </c>
      <c r="K24" s="10">
        <f t="shared" si="3"/>
        <v>1350</v>
      </c>
    </row>
    <row r="25" ht="15.75" customHeight="1">
      <c r="A25" s="5" t="s">
        <v>84</v>
      </c>
      <c r="B25" s="5" t="s">
        <v>83</v>
      </c>
      <c r="C25" s="5" t="s">
        <v>41</v>
      </c>
      <c r="D25" s="5" t="s">
        <v>59</v>
      </c>
      <c r="E25" s="5">
        <v>3.0</v>
      </c>
      <c r="F25" s="8" t="str">
        <f t="array" ref="F25:H25">XLOOKUP(C25,DimProductos[ID_Producto],DimProductos[[Articulo]:[Precio_Unitario]])</f>
        <v>Casco Cerrado</v>
      </c>
      <c r="G25" s="8" t="s">
        <v>43</v>
      </c>
      <c r="H25" s="9">
        <v>2500.0</v>
      </c>
      <c r="I25" s="10">
        <f t="shared" si="1"/>
        <v>7500</v>
      </c>
      <c r="J25" s="11">
        <f t="shared" si="2"/>
        <v>750</v>
      </c>
      <c r="K25" s="10">
        <f t="shared" si="3"/>
        <v>6750</v>
      </c>
    </row>
    <row r="26" ht="15.75" customHeight="1">
      <c r="A26" s="5" t="s">
        <v>85</v>
      </c>
      <c r="B26" s="5" t="s">
        <v>83</v>
      </c>
      <c r="C26" s="5" t="s">
        <v>34</v>
      </c>
      <c r="D26" s="5" t="s">
        <v>53</v>
      </c>
      <c r="E26" s="5">
        <v>3.0</v>
      </c>
      <c r="F26" s="8" t="str">
        <f t="array" ref="F26:H26">XLOOKUP(C26,DimProductos[ID_Producto],DimProductos[[Articulo]:[Precio_Unitario]])</f>
        <v>Aceite Sintético</v>
      </c>
      <c r="G26" s="8" t="s">
        <v>45</v>
      </c>
      <c r="H26" s="9">
        <v>350.0</v>
      </c>
      <c r="I26" s="10">
        <f t="shared" si="1"/>
        <v>1050</v>
      </c>
      <c r="J26" s="11" t="str">
        <f t="shared" si="2"/>
        <v>0</v>
      </c>
      <c r="K26" s="10">
        <f t="shared" si="3"/>
        <v>1050</v>
      </c>
    </row>
    <row r="27" ht="15.75" customHeight="1">
      <c r="A27" s="5" t="s">
        <v>86</v>
      </c>
      <c r="B27" s="5" t="s">
        <v>87</v>
      </c>
      <c r="C27" s="5" t="s">
        <v>34</v>
      </c>
      <c r="D27" s="5" t="s">
        <v>53</v>
      </c>
      <c r="E27" s="5">
        <v>3.0</v>
      </c>
      <c r="F27" s="8" t="str">
        <f t="array" ref="F27:H27">XLOOKUP(C27,DimProductos[ID_Producto],DimProductos[[Articulo]:[Precio_Unitario]])</f>
        <v>Aceite Sintético</v>
      </c>
      <c r="G27" s="8" t="s">
        <v>45</v>
      </c>
      <c r="H27" s="9">
        <v>350.0</v>
      </c>
      <c r="I27" s="10">
        <f t="shared" si="1"/>
        <v>1050</v>
      </c>
      <c r="J27" s="11" t="str">
        <f t="shared" si="2"/>
        <v>0</v>
      </c>
      <c r="K27" s="10">
        <f t="shared" si="3"/>
        <v>1050</v>
      </c>
    </row>
    <row r="28" ht="15.75" customHeight="1">
      <c r="A28" s="5" t="s">
        <v>88</v>
      </c>
      <c r="B28" s="5" t="s">
        <v>87</v>
      </c>
      <c r="C28" s="5" t="s">
        <v>41</v>
      </c>
      <c r="D28" s="5" t="s">
        <v>36</v>
      </c>
      <c r="E28" s="5">
        <v>3.0</v>
      </c>
      <c r="F28" s="8" t="str">
        <f t="array" ref="F28:H28">XLOOKUP(C28,DimProductos[ID_Producto],DimProductos[[Articulo]:[Precio_Unitario]])</f>
        <v>Casco Cerrado</v>
      </c>
      <c r="G28" s="8" t="s">
        <v>43</v>
      </c>
      <c r="H28" s="9">
        <v>2500.0</v>
      </c>
      <c r="I28" s="10">
        <f t="shared" si="1"/>
        <v>7500</v>
      </c>
      <c r="J28" s="11">
        <f t="shared" si="2"/>
        <v>750</v>
      </c>
      <c r="K28" s="10">
        <f t="shared" si="3"/>
        <v>6750</v>
      </c>
    </row>
    <row r="29" ht="15.75" customHeight="1">
      <c r="A29" s="5" t="s">
        <v>89</v>
      </c>
      <c r="B29" s="5" t="s">
        <v>87</v>
      </c>
      <c r="C29" s="5" t="s">
        <v>35</v>
      </c>
      <c r="D29" s="5" t="s">
        <v>29</v>
      </c>
      <c r="E29" s="5">
        <v>1.0</v>
      </c>
      <c r="F29" s="8" t="str">
        <f t="array" ref="F29:H29">XLOOKUP(C29,DimProductos[ID_Producto],DimProductos[[Articulo]:[Precio_Unitario]])</f>
        <v>Guantes Touchscreen</v>
      </c>
      <c r="G29" s="8" t="s">
        <v>38</v>
      </c>
      <c r="H29" s="9">
        <v>600.0</v>
      </c>
      <c r="I29" s="10">
        <f t="shared" si="1"/>
        <v>600</v>
      </c>
      <c r="J29" s="11" t="str">
        <f t="shared" si="2"/>
        <v>0</v>
      </c>
      <c r="K29" s="10">
        <f t="shared" si="3"/>
        <v>600</v>
      </c>
    </row>
    <row r="30" ht="15.75" customHeight="1">
      <c r="A30" s="5" t="s">
        <v>90</v>
      </c>
      <c r="B30" s="5" t="s">
        <v>87</v>
      </c>
      <c r="C30" s="5" t="s">
        <v>34</v>
      </c>
      <c r="D30" s="5" t="s">
        <v>59</v>
      </c>
      <c r="E30" s="5">
        <v>2.0</v>
      </c>
      <c r="F30" s="8" t="str">
        <f t="array" ref="F30:H30">XLOOKUP(C30,DimProductos[ID_Producto],DimProductos[[Articulo]:[Precio_Unitario]])</f>
        <v>Aceite Sintético</v>
      </c>
      <c r="G30" s="8" t="s">
        <v>45</v>
      </c>
      <c r="H30" s="9">
        <v>350.0</v>
      </c>
      <c r="I30" s="10">
        <f t="shared" si="1"/>
        <v>700</v>
      </c>
      <c r="J30" s="11" t="str">
        <f t="shared" si="2"/>
        <v>0</v>
      </c>
      <c r="K30" s="10">
        <f t="shared" si="3"/>
        <v>700</v>
      </c>
    </row>
    <row r="31" ht="15.75" customHeight="1">
      <c r="A31" s="5" t="s">
        <v>91</v>
      </c>
      <c r="B31" s="5" t="s">
        <v>87</v>
      </c>
      <c r="C31" s="5" t="s">
        <v>49</v>
      </c>
      <c r="D31" s="5" t="s">
        <v>53</v>
      </c>
      <c r="E31" s="5">
        <v>1.0</v>
      </c>
      <c r="F31" s="8" t="str">
        <f t="array" ref="F31:H31">XLOOKUP(C31,DimProductos[ID_Producto],DimProductos[[Articulo]:[Precio_Unitario]])</f>
        <v>Alforjas Laterales</v>
      </c>
      <c r="G31" s="8" t="s">
        <v>51</v>
      </c>
      <c r="H31" s="9">
        <v>1800.0</v>
      </c>
      <c r="I31" s="10">
        <f t="shared" si="1"/>
        <v>1800</v>
      </c>
      <c r="J31" s="11" t="str">
        <f t="shared" si="2"/>
        <v>0</v>
      </c>
      <c r="K31" s="10">
        <f t="shared" si="3"/>
        <v>1800</v>
      </c>
    </row>
    <row r="32" ht="15.75" customHeight="1">
      <c r="A32" s="5" t="s">
        <v>92</v>
      </c>
      <c r="B32" s="5" t="s">
        <v>87</v>
      </c>
      <c r="C32" s="5" t="s">
        <v>39</v>
      </c>
      <c r="D32" s="5" t="s">
        <v>53</v>
      </c>
      <c r="E32" s="5">
        <v>2.0</v>
      </c>
      <c r="F32" s="8" t="str">
        <f t="array" ref="F32:H32">XLOOKUP(C32,DimProductos[ID_Producto],DimProductos[[Articulo]:[Precio_Unitario]])</f>
        <v>Mochila Impermeable</v>
      </c>
      <c r="G32" s="8" t="s">
        <v>38</v>
      </c>
      <c r="H32" s="9">
        <v>950.0</v>
      </c>
      <c r="I32" s="10">
        <f t="shared" si="1"/>
        <v>1900</v>
      </c>
      <c r="J32" s="11" t="str">
        <f t="shared" si="2"/>
        <v>0</v>
      </c>
      <c r="K32" s="10">
        <f t="shared" si="3"/>
        <v>1900</v>
      </c>
    </row>
    <row r="33" ht="15.75" customHeight="1">
      <c r="A33" s="5" t="s">
        <v>93</v>
      </c>
      <c r="B33" s="5" t="s">
        <v>94</v>
      </c>
      <c r="C33" s="5" t="s">
        <v>49</v>
      </c>
      <c r="D33" s="5" t="s">
        <v>59</v>
      </c>
      <c r="E33" s="5">
        <v>2.0</v>
      </c>
      <c r="F33" s="8" t="str">
        <f t="array" ref="F33:H33">XLOOKUP(C33,DimProductos[ID_Producto],DimProductos[[Articulo]:[Precio_Unitario]])</f>
        <v>Alforjas Laterales</v>
      </c>
      <c r="G33" s="8" t="s">
        <v>51</v>
      </c>
      <c r="H33" s="9">
        <v>1800.0</v>
      </c>
      <c r="I33" s="10">
        <f t="shared" si="1"/>
        <v>3600</v>
      </c>
      <c r="J33" s="11">
        <f t="shared" si="2"/>
        <v>360</v>
      </c>
      <c r="K33" s="10">
        <f t="shared" si="3"/>
        <v>3240</v>
      </c>
    </row>
    <row r="34" ht="15.75" customHeight="1">
      <c r="A34" s="5" t="s">
        <v>95</v>
      </c>
      <c r="B34" s="5" t="s">
        <v>94</v>
      </c>
      <c r="C34" s="5" t="s">
        <v>41</v>
      </c>
      <c r="D34" s="5" t="s">
        <v>29</v>
      </c>
      <c r="E34" s="5">
        <v>2.0</v>
      </c>
      <c r="F34" s="8" t="str">
        <f t="array" ref="F34:H34">XLOOKUP(C34,DimProductos[ID_Producto],DimProductos[[Articulo]:[Precio_Unitario]])</f>
        <v>Casco Cerrado</v>
      </c>
      <c r="G34" s="8" t="s">
        <v>43</v>
      </c>
      <c r="H34" s="9">
        <v>2500.0</v>
      </c>
      <c r="I34" s="10">
        <f t="shared" si="1"/>
        <v>5000</v>
      </c>
      <c r="J34" s="11">
        <f t="shared" si="2"/>
        <v>500</v>
      </c>
      <c r="K34" s="10">
        <f t="shared" si="3"/>
        <v>4500</v>
      </c>
    </row>
    <row r="35" ht="15.75" customHeight="1">
      <c r="A35" s="5" t="s">
        <v>96</v>
      </c>
      <c r="B35" s="5" t="s">
        <v>97</v>
      </c>
      <c r="C35" s="5" t="s">
        <v>20</v>
      </c>
      <c r="D35" s="5" t="s">
        <v>36</v>
      </c>
      <c r="E35" s="5">
        <v>2.0</v>
      </c>
      <c r="F35" s="8" t="str">
        <f t="array" ref="F35:H35">XLOOKUP(C35,DimProductos[ID_Producto],DimProductos[[Articulo]:[Precio_Unitario]])</f>
        <v>Espejos Retrovisores</v>
      </c>
      <c r="G35" s="8" t="s">
        <v>24</v>
      </c>
      <c r="H35" s="9">
        <v>1200.0</v>
      </c>
      <c r="I35" s="10">
        <f t="shared" si="1"/>
        <v>2400</v>
      </c>
      <c r="J35" s="11">
        <f t="shared" si="2"/>
        <v>240</v>
      </c>
      <c r="K35" s="10">
        <f t="shared" si="3"/>
        <v>2160</v>
      </c>
    </row>
    <row r="36" ht="15.75" customHeight="1">
      <c r="A36" s="5" t="s">
        <v>98</v>
      </c>
      <c r="B36" s="5" t="s">
        <v>99</v>
      </c>
      <c r="C36" s="5" t="s">
        <v>34</v>
      </c>
      <c r="D36" s="5" t="s">
        <v>36</v>
      </c>
      <c r="E36" s="5">
        <v>2.0</v>
      </c>
      <c r="F36" s="8" t="str">
        <f t="array" ref="F36:H36">XLOOKUP(C36,DimProductos[ID_Producto],DimProductos[[Articulo]:[Precio_Unitario]])</f>
        <v>Aceite Sintético</v>
      </c>
      <c r="G36" s="8" t="s">
        <v>45</v>
      </c>
      <c r="H36" s="9">
        <v>350.0</v>
      </c>
      <c r="I36" s="10">
        <f t="shared" si="1"/>
        <v>700</v>
      </c>
      <c r="J36" s="11" t="str">
        <f t="shared" si="2"/>
        <v>0</v>
      </c>
      <c r="K36" s="10">
        <f t="shared" si="3"/>
        <v>700</v>
      </c>
    </row>
    <row r="37" ht="15.75" customHeight="1">
      <c r="A37" s="5" t="s">
        <v>100</v>
      </c>
      <c r="B37" s="5" t="s">
        <v>99</v>
      </c>
      <c r="C37" s="5" t="s">
        <v>41</v>
      </c>
      <c r="D37" s="5" t="s">
        <v>53</v>
      </c>
      <c r="E37" s="5">
        <v>3.0</v>
      </c>
      <c r="F37" s="8" t="str">
        <f t="array" ref="F37:H37">XLOOKUP(C37,DimProductos[ID_Producto],DimProductos[[Articulo]:[Precio_Unitario]])</f>
        <v>Casco Cerrado</v>
      </c>
      <c r="G37" s="8" t="s">
        <v>43</v>
      </c>
      <c r="H37" s="9">
        <v>2500.0</v>
      </c>
      <c r="I37" s="10">
        <f t="shared" si="1"/>
        <v>7500</v>
      </c>
      <c r="J37" s="11">
        <f t="shared" si="2"/>
        <v>750</v>
      </c>
      <c r="K37" s="10">
        <f t="shared" si="3"/>
        <v>6750</v>
      </c>
    </row>
    <row r="38" ht="15.75" customHeight="1">
      <c r="A38" s="5" t="s">
        <v>101</v>
      </c>
      <c r="B38" s="5" t="s">
        <v>102</v>
      </c>
      <c r="C38" s="5" t="s">
        <v>46</v>
      </c>
      <c r="D38" s="5" t="s">
        <v>59</v>
      </c>
      <c r="E38" s="5">
        <v>2.0</v>
      </c>
      <c r="F38" s="8" t="str">
        <f t="array" ref="F38:H38">XLOOKUP(C38,DimProductos[ID_Producto],DimProductos[[Articulo]:[Precio_Unitario]])</f>
        <v>Llantas Deportivas</v>
      </c>
      <c r="G38" s="8" t="s">
        <v>48</v>
      </c>
      <c r="H38" s="9">
        <v>3200.0</v>
      </c>
      <c r="I38" s="10">
        <f t="shared" si="1"/>
        <v>6400</v>
      </c>
      <c r="J38" s="11">
        <f t="shared" si="2"/>
        <v>640</v>
      </c>
      <c r="K38" s="10">
        <f t="shared" si="3"/>
        <v>5760</v>
      </c>
    </row>
    <row r="39" ht="15.75" customHeight="1">
      <c r="A39" s="5" t="s">
        <v>103</v>
      </c>
      <c r="B39" s="5" t="s">
        <v>102</v>
      </c>
      <c r="C39" s="5" t="s">
        <v>46</v>
      </c>
      <c r="D39" s="5" t="s">
        <v>53</v>
      </c>
      <c r="E39" s="5">
        <v>3.0</v>
      </c>
      <c r="F39" s="8" t="str">
        <f t="array" ref="F39:H39">XLOOKUP(C39,DimProductos[ID_Producto],DimProductos[[Articulo]:[Precio_Unitario]])</f>
        <v>Llantas Deportivas</v>
      </c>
      <c r="G39" s="8" t="s">
        <v>48</v>
      </c>
      <c r="H39" s="9">
        <v>3200.0</v>
      </c>
      <c r="I39" s="10">
        <f t="shared" si="1"/>
        <v>9600</v>
      </c>
      <c r="J39" s="11">
        <f t="shared" si="2"/>
        <v>960</v>
      </c>
      <c r="K39" s="10">
        <f t="shared" si="3"/>
        <v>8640</v>
      </c>
    </row>
    <row r="40" ht="15.75" customHeight="1">
      <c r="A40" s="5" t="s">
        <v>104</v>
      </c>
      <c r="B40" s="5" t="s">
        <v>102</v>
      </c>
      <c r="C40" s="5" t="s">
        <v>49</v>
      </c>
      <c r="D40" s="5" t="s">
        <v>29</v>
      </c>
      <c r="E40" s="5">
        <v>2.0</v>
      </c>
      <c r="F40" s="8" t="str">
        <f t="array" ref="F40:H40">XLOOKUP(C40,DimProductos[ID_Producto],DimProductos[[Articulo]:[Precio_Unitario]])</f>
        <v>Alforjas Laterales</v>
      </c>
      <c r="G40" s="8" t="s">
        <v>51</v>
      </c>
      <c r="H40" s="9">
        <v>1800.0</v>
      </c>
      <c r="I40" s="10">
        <f t="shared" si="1"/>
        <v>3600</v>
      </c>
      <c r="J40" s="11">
        <f t="shared" si="2"/>
        <v>360</v>
      </c>
      <c r="K40" s="10">
        <f t="shared" si="3"/>
        <v>3240</v>
      </c>
    </row>
    <row r="41" ht="15.75" customHeight="1">
      <c r="A41" s="5" t="s">
        <v>105</v>
      </c>
      <c r="B41" s="5" t="s">
        <v>102</v>
      </c>
      <c r="C41" s="5" t="s">
        <v>35</v>
      </c>
      <c r="D41" s="5" t="s">
        <v>36</v>
      </c>
      <c r="E41" s="5">
        <v>2.0</v>
      </c>
      <c r="F41" s="8" t="str">
        <f t="array" ref="F41:H41">XLOOKUP(C41,DimProductos[ID_Producto],DimProductos[[Articulo]:[Precio_Unitario]])</f>
        <v>Guantes Touchscreen</v>
      </c>
      <c r="G41" s="8" t="s">
        <v>38</v>
      </c>
      <c r="H41" s="9">
        <v>600.0</v>
      </c>
      <c r="I41" s="10">
        <f t="shared" si="1"/>
        <v>1200</v>
      </c>
      <c r="J41" s="11" t="str">
        <f t="shared" si="2"/>
        <v>0</v>
      </c>
      <c r="K41" s="10">
        <f t="shared" si="3"/>
        <v>1200</v>
      </c>
    </row>
    <row r="42" ht="15.75" customHeight="1">
      <c r="A42" s="5" t="s">
        <v>106</v>
      </c>
      <c r="B42" s="5" t="s">
        <v>102</v>
      </c>
      <c r="C42" s="5" t="s">
        <v>39</v>
      </c>
      <c r="D42" s="5" t="s">
        <v>59</v>
      </c>
      <c r="E42" s="5">
        <v>3.0</v>
      </c>
      <c r="F42" s="8" t="str">
        <f t="array" ref="F42:H42">XLOOKUP(C42,DimProductos[ID_Producto],DimProductos[[Articulo]:[Precio_Unitario]])</f>
        <v>Mochila Impermeable</v>
      </c>
      <c r="G42" s="8" t="s">
        <v>38</v>
      </c>
      <c r="H42" s="9">
        <v>950.0</v>
      </c>
      <c r="I42" s="10">
        <f t="shared" si="1"/>
        <v>2850</v>
      </c>
      <c r="J42" s="11">
        <f t="shared" si="2"/>
        <v>285</v>
      </c>
      <c r="K42" s="10">
        <f t="shared" si="3"/>
        <v>2565</v>
      </c>
    </row>
    <row r="43" ht="15.75" customHeight="1">
      <c r="A43" s="5" t="s">
        <v>107</v>
      </c>
      <c r="B43" s="5" t="s">
        <v>108</v>
      </c>
      <c r="C43" s="5" t="s">
        <v>28</v>
      </c>
      <c r="D43" s="5" t="s">
        <v>36</v>
      </c>
      <c r="E43" s="5">
        <v>1.0</v>
      </c>
      <c r="F43" s="8" t="str">
        <f t="array" ref="F43:H43">XLOOKUP(C43,DimProductos[ID_Producto],DimProductos[[Articulo]:[Precio_Unitario]])</f>
        <v>Posa Pies Delanteros</v>
      </c>
      <c r="G43" s="8" t="s">
        <v>32</v>
      </c>
      <c r="H43" s="9">
        <v>450.0</v>
      </c>
      <c r="I43" s="10">
        <f t="shared" si="1"/>
        <v>450</v>
      </c>
      <c r="J43" s="11" t="str">
        <f t="shared" si="2"/>
        <v>0</v>
      </c>
      <c r="K43" s="10">
        <f t="shared" si="3"/>
        <v>450</v>
      </c>
    </row>
    <row r="44" ht="15.75" customHeight="1">
      <c r="A44" s="5" t="s">
        <v>109</v>
      </c>
      <c r="B44" s="5" t="s">
        <v>108</v>
      </c>
      <c r="C44" s="5" t="s">
        <v>28</v>
      </c>
      <c r="D44" s="5" t="s">
        <v>53</v>
      </c>
      <c r="E44" s="5">
        <v>2.0</v>
      </c>
      <c r="F44" s="8" t="str">
        <f t="array" ref="F44:H44">XLOOKUP(C44,DimProductos[ID_Producto],DimProductos[[Articulo]:[Precio_Unitario]])</f>
        <v>Posa Pies Delanteros</v>
      </c>
      <c r="G44" s="8" t="s">
        <v>32</v>
      </c>
      <c r="H44" s="9">
        <v>450.0</v>
      </c>
      <c r="I44" s="10">
        <f t="shared" si="1"/>
        <v>900</v>
      </c>
      <c r="J44" s="11" t="str">
        <f t="shared" si="2"/>
        <v>0</v>
      </c>
      <c r="K44" s="10">
        <f t="shared" si="3"/>
        <v>900</v>
      </c>
    </row>
    <row r="45" ht="15.75" customHeight="1">
      <c r="A45" s="5" t="s">
        <v>110</v>
      </c>
      <c r="B45" s="5" t="s">
        <v>108</v>
      </c>
      <c r="C45" s="5" t="s">
        <v>28</v>
      </c>
      <c r="D45" s="5" t="s">
        <v>36</v>
      </c>
      <c r="E45" s="5">
        <v>2.0</v>
      </c>
      <c r="F45" s="8" t="str">
        <f t="array" ref="F45:H45">XLOOKUP(C45,DimProductos[ID_Producto],DimProductos[[Articulo]:[Precio_Unitario]])</f>
        <v>Posa Pies Delanteros</v>
      </c>
      <c r="G45" s="8" t="s">
        <v>32</v>
      </c>
      <c r="H45" s="9">
        <v>450.0</v>
      </c>
      <c r="I45" s="10">
        <f t="shared" si="1"/>
        <v>900</v>
      </c>
      <c r="J45" s="11" t="str">
        <f t="shared" si="2"/>
        <v>0</v>
      </c>
      <c r="K45" s="10">
        <f t="shared" si="3"/>
        <v>900</v>
      </c>
    </row>
    <row r="46" ht="15.75" customHeight="1">
      <c r="A46" s="5" t="s">
        <v>111</v>
      </c>
      <c r="B46" s="5" t="s">
        <v>112</v>
      </c>
      <c r="C46" s="5" t="s">
        <v>49</v>
      </c>
      <c r="D46" s="5" t="s">
        <v>36</v>
      </c>
      <c r="E46" s="5">
        <v>2.0</v>
      </c>
      <c r="F46" s="8" t="str">
        <f t="array" ref="F46:H46">XLOOKUP(C46,DimProductos[ID_Producto],DimProductos[[Articulo]:[Precio_Unitario]])</f>
        <v>Alforjas Laterales</v>
      </c>
      <c r="G46" s="8" t="s">
        <v>51</v>
      </c>
      <c r="H46" s="9">
        <v>1800.0</v>
      </c>
      <c r="I46" s="10">
        <f t="shared" si="1"/>
        <v>3600</v>
      </c>
      <c r="J46" s="11">
        <f t="shared" si="2"/>
        <v>360</v>
      </c>
      <c r="K46" s="10">
        <f t="shared" si="3"/>
        <v>3240</v>
      </c>
    </row>
    <row r="47" ht="15.75" customHeight="1">
      <c r="A47" s="5" t="s">
        <v>113</v>
      </c>
      <c r="B47" s="5" t="s">
        <v>112</v>
      </c>
      <c r="C47" s="5" t="s">
        <v>20</v>
      </c>
      <c r="D47" s="5" t="s">
        <v>59</v>
      </c>
      <c r="E47" s="5">
        <v>2.0</v>
      </c>
      <c r="F47" s="8" t="str">
        <f t="array" ref="F47:H47">XLOOKUP(C47,DimProductos[ID_Producto],DimProductos[[Articulo]:[Precio_Unitario]])</f>
        <v>Espejos Retrovisores</v>
      </c>
      <c r="G47" s="8" t="s">
        <v>24</v>
      </c>
      <c r="H47" s="9">
        <v>1200.0</v>
      </c>
      <c r="I47" s="10">
        <f t="shared" si="1"/>
        <v>2400</v>
      </c>
      <c r="J47" s="11">
        <f t="shared" si="2"/>
        <v>240</v>
      </c>
      <c r="K47" s="10">
        <f t="shared" si="3"/>
        <v>2160</v>
      </c>
    </row>
    <row r="48" ht="15.75" customHeight="1">
      <c r="A48" s="5" t="s">
        <v>114</v>
      </c>
      <c r="B48" s="5" t="s">
        <v>112</v>
      </c>
      <c r="C48" s="5" t="s">
        <v>41</v>
      </c>
      <c r="D48" s="5" t="s">
        <v>59</v>
      </c>
      <c r="E48" s="5">
        <v>3.0</v>
      </c>
      <c r="F48" s="8" t="str">
        <f t="array" ref="F48:H48">XLOOKUP(C48,DimProductos[ID_Producto],DimProductos[[Articulo]:[Precio_Unitario]])</f>
        <v>Casco Cerrado</v>
      </c>
      <c r="G48" s="8" t="s">
        <v>43</v>
      </c>
      <c r="H48" s="9">
        <v>2500.0</v>
      </c>
      <c r="I48" s="10">
        <f t="shared" si="1"/>
        <v>7500</v>
      </c>
      <c r="J48" s="11">
        <f t="shared" si="2"/>
        <v>750</v>
      </c>
      <c r="K48" s="10">
        <f t="shared" si="3"/>
        <v>6750</v>
      </c>
    </row>
    <row r="49" ht="15.75" customHeight="1">
      <c r="A49" s="5" t="s">
        <v>115</v>
      </c>
      <c r="B49" s="5" t="s">
        <v>116</v>
      </c>
      <c r="C49" s="5" t="s">
        <v>41</v>
      </c>
      <c r="D49" s="5" t="s">
        <v>36</v>
      </c>
      <c r="E49" s="5">
        <v>1.0</v>
      </c>
      <c r="F49" s="8" t="str">
        <f t="array" ref="F49:H49">XLOOKUP(C49,DimProductos[ID_Producto],DimProductos[[Articulo]:[Precio_Unitario]])</f>
        <v>Casco Cerrado</v>
      </c>
      <c r="G49" s="8" t="s">
        <v>43</v>
      </c>
      <c r="H49" s="9">
        <v>2500.0</v>
      </c>
      <c r="I49" s="10">
        <f t="shared" si="1"/>
        <v>2500</v>
      </c>
      <c r="J49" s="11">
        <f t="shared" si="2"/>
        <v>250</v>
      </c>
      <c r="K49" s="10">
        <f t="shared" si="3"/>
        <v>2250</v>
      </c>
    </row>
    <row r="50" ht="15.75" customHeight="1">
      <c r="A50" s="5" t="s">
        <v>117</v>
      </c>
      <c r="B50" s="5" t="s">
        <v>116</v>
      </c>
      <c r="C50" s="5" t="s">
        <v>34</v>
      </c>
      <c r="D50" s="5" t="s">
        <v>29</v>
      </c>
      <c r="E50" s="5">
        <v>2.0</v>
      </c>
      <c r="F50" s="8" t="str">
        <f t="array" ref="F50:H50">XLOOKUP(C50,DimProductos[ID_Producto],DimProductos[[Articulo]:[Precio_Unitario]])</f>
        <v>Aceite Sintético</v>
      </c>
      <c r="G50" s="8" t="s">
        <v>45</v>
      </c>
      <c r="H50" s="9">
        <v>350.0</v>
      </c>
      <c r="I50" s="10">
        <f t="shared" si="1"/>
        <v>700</v>
      </c>
      <c r="J50" s="11" t="str">
        <f t="shared" si="2"/>
        <v>0</v>
      </c>
      <c r="K50" s="10">
        <f t="shared" si="3"/>
        <v>700</v>
      </c>
    </row>
    <row r="51" ht="15.75" customHeight="1">
      <c r="A51" s="5" t="s">
        <v>118</v>
      </c>
      <c r="B51" s="5" t="s">
        <v>116</v>
      </c>
      <c r="C51" s="5" t="s">
        <v>49</v>
      </c>
      <c r="D51" s="5" t="s">
        <v>29</v>
      </c>
      <c r="E51" s="5">
        <v>3.0</v>
      </c>
      <c r="F51" s="8" t="str">
        <f t="array" ref="F51:H51">XLOOKUP(C51,DimProductos[ID_Producto],DimProductos[[Articulo]:[Precio_Unitario]])</f>
        <v>Alforjas Laterales</v>
      </c>
      <c r="G51" s="8" t="s">
        <v>51</v>
      </c>
      <c r="H51" s="9">
        <v>1800.0</v>
      </c>
      <c r="I51" s="10">
        <f t="shared" si="1"/>
        <v>5400</v>
      </c>
      <c r="J51" s="11">
        <f t="shared" si="2"/>
        <v>540</v>
      </c>
      <c r="K51" s="10">
        <f t="shared" si="3"/>
        <v>4860</v>
      </c>
    </row>
    <row r="52" ht="15.75" customHeight="1">
      <c r="A52" s="5" t="s">
        <v>119</v>
      </c>
      <c r="B52" s="5" t="s">
        <v>116</v>
      </c>
      <c r="C52" s="5" t="s">
        <v>35</v>
      </c>
      <c r="D52" s="5" t="s">
        <v>59</v>
      </c>
      <c r="E52" s="5">
        <v>2.0</v>
      </c>
      <c r="F52" s="8" t="str">
        <f t="array" ref="F52:H52">XLOOKUP(C52,DimProductos[ID_Producto],DimProductos[[Articulo]:[Precio_Unitario]])</f>
        <v>Guantes Touchscreen</v>
      </c>
      <c r="G52" s="8" t="s">
        <v>38</v>
      </c>
      <c r="H52" s="9">
        <v>600.0</v>
      </c>
      <c r="I52" s="10">
        <f t="shared" si="1"/>
        <v>1200</v>
      </c>
      <c r="J52" s="11" t="str">
        <f t="shared" si="2"/>
        <v>0</v>
      </c>
      <c r="K52" s="10">
        <f t="shared" si="3"/>
        <v>1200</v>
      </c>
    </row>
    <row r="53" ht="15.75" customHeight="1">
      <c r="A53" s="5" t="s">
        <v>120</v>
      </c>
      <c r="B53" s="5" t="s">
        <v>116</v>
      </c>
      <c r="C53" s="5" t="s">
        <v>46</v>
      </c>
      <c r="D53" s="5" t="s">
        <v>29</v>
      </c>
      <c r="E53" s="5">
        <v>2.0</v>
      </c>
      <c r="F53" s="8" t="str">
        <f t="array" ref="F53:H53">XLOOKUP(C53,DimProductos[ID_Producto],DimProductos[[Articulo]:[Precio_Unitario]])</f>
        <v>Llantas Deportivas</v>
      </c>
      <c r="G53" s="8" t="s">
        <v>48</v>
      </c>
      <c r="H53" s="9">
        <v>3200.0</v>
      </c>
      <c r="I53" s="10">
        <f t="shared" si="1"/>
        <v>6400</v>
      </c>
      <c r="J53" s="11">
        <f t="shared" si="2"/>
        <v>640</v>
      </c>
      <c r="K53" s="10">
        <f t="shared" si="3"/>
        <v>5760</v>
      </c>
    </row>
    <row r="54" ht="15.75" customHeight="1">
      <c r="A54" s="5" t="s">
        <v>121</v>
      </c>
      <c r="B54" s="5" t="s">
        <v>122</v>
      </c>
      <c r="C54" s="5" t="s">
        <v>49</v>
      </c>
      <c r="D54" s="5" t="s">
        <v>36</v>
      </c>
      <c r="E54" s="5">
        <v>3.0</v>
      </c>
      <c r="F54" s="8" t="str">
        <f t="array" ref="F54:H54">XLOOKUP(C54,DimProductos[ID_Producto],DimProductos[[Articulo]:[Precio_Unitario]])</f>
        <v>Alforjas Laterales</v>
      </c>
      <c r="G54" s="8" t="s">
        <v>51</v>
      </c>
      <c r="H54" s="9">
        <v>1800.0</v>
      </c>
      <c r="I54" s="10">
        <f t="shared" si="1"/>
        <v>5400</v>
      </c>
      <c r="J54" s="11">
        <f t="shared" si="2"/>
        <v>540</v>
      </c>
      <c r="K54" s="10">
        <f t="shared" si="3"/>
        <v>4860</v>
      </c>
    </row>
    <row r="55" ht="15.75" customHeight="1">
      <c r="A55" s="5" t="s">
        <v>123</v>
      </c>
      <c r="B55" s="5" t="s">
        <v>122</v>
      </c>
      <c r="C55" s="5" t="s">
        <v>41</v>
      </c>
      <c r="D55" s="5" t="s">
        <v>36</v>
      </c>
      <c r="E55" s="5">
        <v>1.0</v>
      </c>
      <c r="F55" s="8" t="str">
        <f t="array" ref="F55:H55">XLOOKUP(C55,DimProductos[ID_Producto],DimProductos[[Articulo]:[Precio_Unitario]])</f>
        <v>Casco Cerrado</v>
      </c>
      <c r="G55" s="8" t="s">
        <v>43</v>
      </c>
      <c r="H55" s="9">
        <v>2500.0</v>
      </c>
      <c r="I55" s="10">
        <f t="shared" si="1"/>
        <v>2500</v>
      </c>
      <c r="J55" s="11">
        <f t="shared" si="2"/>
        <v>250</v>
      </c>
      <c r="K55" s="10">
        <f t="shared" si="3"/>
        <v>2250</v>
      </c>
    </row>
    <row r="56" ht="15.75" customHeight="1">
      <c r="A56" s="5" t="s">
        <v>124</v>
      </c>
      <c r="B56" s="5" t="s">
        <v>125</v>
      </c>
      <c r="C56" s="5" t="s">
        <v>41</v>
      </c>
      <c r="D56" s="5" t="s">
        <v>36</v>
      </c>
      <c r="E56" s="5">
        <v>1.0</v>
      </c>
      <c r="F56" s="8" t="str">
        <f t="array" ref="F56:H56">XLOOKUP(C56,DimProductos[ID_Producto],DimProductos[[Articulo]:[Precio_Unitario]])</f>
        <v>Casco Cerrado</v>
      </c>
      <c r="G56" s="8" t="s">
        <v>43</v>
      </c>
      <c r="H56" s="9">
        <v>2500.0</v>
      </c>
      <c r="I56" s="10">
        <f t="shared" si="1"/>
        <v>2500</v>
      </c>
      <c r="J56" s="11">
        <f t="shared" si="2"/>
        <v>250</v>
      </c>
      <c r="K56" s="10">
        <f t="shared" si="3"/>
        <v>2250</v>
      </c>
    </row>
    <row r="57" ht="15.75" customHeight="1">
      <c r="A57" s="5" t="s">
        <v>126</v>
      </c>
      <c r="B57" s="5" t="s">
        <v>125</v>
      </c>
      <c r="C57" s="5" t="s">
        <v>20</v>
      </c>
      <c r="D57" s="5" t="s">
        <v>36</v>
      </c>
      <c r="E57" s="5">
        <v>1.0</v>
      </c>
      <c r="F57" s="8" t="str">
        <f t="array" ref="F57:H57">XLOOKUP(C57,DimProductos[ID_Producto],DimProductos[[Articulo]:[Precio_Unitario]])</f>
        <v>Espejos Retrovisores</v>
      </c>
      <c r="G57" s="8" t="s">
        <v>24</v>
      </c>
      <c r="H57" s="9">
        <v>1200.0</v>
      </c>
      <c r="I57" s="10">
        <f t="shared" si="1"/>
        <v>1200</v>
      </c>
      <c r="J57" s="11" t="str">
        <f t="shared" si="2"/>
        <v>0</v>
      </c>
      <c r="K57" s="10">
        <f t="shared" si="3"/>
        <v>1200</v>
      </c>
    </row>
    <row r="58" ht="15.75" customHeight="1">
      <c r="A58" s="5" t="s">
        <v>127</v>
      </c>
      <c r="B58" s="5" t="s">
        <v>125</v>
      </c>
      <c r="C58" s="5" t="s">
        <v>28</v>
      </c>
      <c r="D58" s="5" t="s">
        <v>29</v>
      </c>
      <c r="E58" s="5">
        <v>2.0</v>
      </c>
      <c r="F58" s="8" t="str">
        <f t="array" ref="F58:H58">XLOOKUP(C58,DimProductos[ID_Producto],DimProductos[[Articulo]:[Precio_Unitario]])</f>
        <v>Posa Pies Delanteros</v>
      </c>
      <c r="G58" s="8" t="s">
        <v>32</v>
      </c>
      <c r="H58" s="9">
        <v>450.0</v>
      </c>
      <c r="I58" s="10">
        <f t="shared" si="1"/>
        <v>900</v>
      </c>
      <c r="J58" s="11" t="str">
        <f t="shared" si="2"/>
        <v>0</v>
      </c>
      <c r="K58" s="10">
        <f t="shared" si="3"/>
        <v>900</v>
      </c>
    </row>
    <row r="59" ht="15.75" customHeight="1">
      <c r="A59" s="5" t="s">
        <v>128</v>
      </c>
      <c r="B59" s="5" t="s">
        <v>125</v>
      </c>
      <c r="C59" s="5" t="s">
        <v>34</v>
      </c>
      <c r="D59" s="5" t="s">
        <v>59</v>
      </c>
      <c r="E59" s="5">
        <v>3.0</v>
      </c>
      <c r="F59" s="8" t="str">
        <f t="array" ref="F59:H59">XLOOKUP(C59,DimProductos[ID_Producto],DimProductos[[Articulo]:[Precio_Unitario]])</f>
        <v>Aceite Sintético</v>
      </c>
      <c r="G59" s="8" t="s">
        <v>45</v>
      </c>
      <c r="H59" s="9">
        <v>350.0</v>
      </c>
      <c r="I59" s="10">
        <f t="shared" si="1"/>
        <v>1050</v>
      </c>
      <c r="J59" s="11" t="str">
        <f t="shared" si="2"/>
        <v>0</v>
      </c>
      <c r="K59" s="10">
        <f t="shared" si="3"/>
        <v>1050</v>
      </c>
    </row>
    <row r="60" ht="15.75" customHeight="1">
      <c r="A60" s="5" t="s">
        <v>129</v>
      </c>
      <c r="B60" s="5" t="s">
        <v>130</v>
      </c>
      <c r="C60" s="5" t="s">
        <v>39</v>
      </c>
      <c r="D60" s="5" t="s">
        <v>59</v>
      </c>
      <c r="E60" s="5">
        <v>1.0</v>
      </c>
      <c r="F60" s="8" t="str">
        <f t="array" ref="F60:H60">XLOOKUP(C60,DimProductos[ID_Producto],DimProductos[[Articulo]:[Precio_Unitario]])</f>
        <v>Mochila Impermeable</v>
      </c>
      <c r="G60" s="8" t="s">
        <v>38</v>
      </c>
      <c r="H60" s="9">
        <v>950.0</v>
      </c>
      <c r="I60" s="10">
        <f t="shared" si="1"/>
        <v>950</v>
      </c>
      <c r="J60" s="11" t="str">
        <f t="shared" si="2"/>
        <v>0</v>
      </c>
      <c r="K60" s="10">
        <f t="shared" si="3"/>
        <v>950</v>
      </c>
    </row>
    <row r="61" ht="15.75" customHeight="1">
      <c r="A61" s="5" t="s">
        <v>131</v>
      </c>
      <c r="B61" s="5" t="s">
        <v>130</v>
      </c>
      <c r="C61" s="5" t="s">
        <v>41</v>
      </c>
      <c r="D61" s="5" t="s">
        <v>53</v>
      </c>
      <c r="E61" s="5">
        <v>2.0</v>
      </c>
      <c r="F61" s="8" t="str">
        <f t="array" ref="F61:H61">XLOOKUP(C61,DimProductos[ID_Producto],DimProductos[[Articulo]:[Precio_Unitario]])</f>
        <v>Casco Cerrado</v>
      </c>
      <c r="G61" s="8" t="s">
        <v>43</v>
      </c>
      <c r="H61" s="9">
        <v>2500.0</v>
      </c>
      <c r="I61" s="10">
        <f t="shared" si="1"/>
        <v>5000</v>
      </c>
      <c r="J61" s="11">
        <f t="shared" si="2"/>
        <v>500</v>
      </c>
      <c r="K61" s="10">
        <f t="shared" si="3"/>
        <v>4500</v>
      </c>
    </row>
    <row r="62" ht="15.75" customHeight="1">
      <c r="A62" s="5" t="s">
        <v>132</v>
      </c>
      <c r="B62" s="5" t="s">
        <v>133</v>
      </c>
      <c r="C62" s="5" t="s">
        <v>34</v>
      </c>
      <c r="D62" s="5" t="s">
        <v>59</v>
      </c>
      <c r="E62" s="5">
        <v>1.0</v>
      </c>
      <c r="F62" s="8" t="str">
        <f t="array" ref="F62:H62">XLOOKUP(C62,DimProductos[ID_Producto],DimProductos[[Articulo]:[Precio_Unitario]])</f>
        <v>Aceite Sintético</v>
      </c>
      <c r="G62" s="8" t="s">
        <v>45</v>
      </c>
      <c r="H62" s="9">
        <v>350.0</v>
      </c>
      <c r="I62" s="10">
        <f t="shared" si="1"/>
        <v>350</v>
      </c>
      <c r="J62" s="11" t="str">
        <f t="shared" si="2"/>
        <v>0</v>
      </c>
      <c r="K62" s="10">
        <f t="shared" si="3"/>
        <v>350</v>
      </c>
    </row>
    <row r="63" ht="15.75" customHeight="1">
      <c r="A63" s="5" t="s">
        <v>134</v>
      </c>
      <c r="B63" s="5" t="s">
        <v>133</v>
      </c>
      <c r="C63" s="5" t="s">
        <v>49</v>
      </c>
      <c r="D63" s="5" t="s">
        <v>29</v>
      </c>
      <c r="E63" s="5">
        <v>2.0</v>
      </c>
      <c r="F63" s="8" t="str">
        <f t="array" ref="F63:H63">XLOOKUP(C63,DimProductos[ID_Producto],DimProductos[[Articulo]:[Precio_Unitario]])</f>
        <v>Alforjas Laterales</v>
      </c>
      <c r="G63" s="8" t="s">
        <v>51</v>
      </c>
      <c r="H63" s="9">
        <v>1800.0</v>
      </c>
      <c r="I63" s="10">
        <f t="shared" si="1"/>
        <v>3600</v>
      </c>
      <c r="J63" s="11">
        <f t="shared" si="2"/>
        <v>360</v>
      </c>
      <c r="K63" s="10">
        <f t="shared" si="3"/>
        <v>3240</v>
      </c>
    </row>
    <row r="64" ht="15.75" customHeight="1">
      <c r="A64" s="5" t="s">
        <v>135</v>
      </c>
      <c r="B64" s="5" t="s">
        <v>133</v>
      </c>
      <c r="C64" s="5" t="s">
        <v>34</v>
      </c>
      <c r="D64" s="5" t="s">
        <v>53</v>
      </c>
      <c r="E64" s="5">
        <v>3.0</v>
      </c>
      <c r="F64" s="8" t="str">
        <f t="array" ref="F64:H64">XLOOKUP(C64,DimProductos[ID_Producto],DimProductos[[Articulo]:[Precio_Unitario]])</f>
        <v>Aceite Sintético</v>
      </c>
      <c r="G64" s="8" t="s">
        <v>45</v>
      </c>
      <c r="H64" s="9">
        <v>350.0</v>
      </c>
      <c r="I64" s="10">
        <f t="shared" si="1"/>
        <v>1050</v>
      </c>
      <c r="J64" s="11" t="str">
        <f t="shared" si="2"/>
        <v>0</v>
      </c>
      <c r="K64" s="10">
        <f t="shared" si="3"/>
        <v>1050</v>
      </c>
    </row>
    <row r="65" ht="15.75" customHeight="1">
      <c r="A65" s="5" t="s">
        <v>136</v>
      </c>
      <c r="B65" s="5" t="s">
        <v>133</v>
      </c>
      <c r="C65" s="5" t="s">
        <v>39</v>
      </c>
      <c r="D65" s="5" t="s">
        <v>59</v>
      </c>
      <c r="E65" s="5">
        <v>2.0</v>
      </c>
      <c r="F65" s="8" t="str">
        <f t="array" ref="F65:H65">XLOOKUP(C65,DimProductos[ID_Producto],DimProductos[[Articulo]:[Precio_Unitario]])</f>
        <v>Mochila Impermeable</v>
      </c>
      <c r="G65" s="8" t="s">
        <v>38</v>
      </c>
      <c r="H65" s="9">
        <v>950.0</v>
      </c>
      <c r="I65" s="10">
        <f t="shared" si="1"/>
        <v>1900</v>
      </c>
      <c r="J65" s="11" t="str">
        <f t="shared" si="2"/>
        <v>0</v>
      </c>
      <c r="K65" s="10">
        <f t="shared" si="3"/>
        <v>1900</v>
      </c>
    </row>
    <row r="66" ht="15.75" customHeight="1">
      <c r="A66" s="5" t="s">
        <v>137</v>
      </c>
      <c r="B66" s="5" t="s">
        <v>133</v>
      </c>
      <c r="C66" s="5" t="s">
        <v>49</v>
      </c>
      <c r="D66" s="5" t="s">
        <v>36</v>
      </c>
      <c r="E66" s="5">
        <v>2.0</v>
      </c>
      <c r="F66" s="8" t="str">
        <f t="array" ref="F66:H66">XLOOKUP(C66,DimProductos[ID_Producto],DimProductos[[Articulo]:[Precio_Unitario]])</f>
        <v>Alforjas Laterales</v>
      </c>
      <c r="G66" s="8" t="s">
        <v>51</v>
      </c>
      <c r="H66" s="9">
        <v>1800.0</v>
      </c>
      <c r="I66" s="10">
        <f t="shared" si="1"/>
        <v>3600</v>
      </c>
      <c r="J66" s="11">
        <f t="shared" si="2"/>
        <v>360</v>
      </c>
      <c r="K66" s="10">
        <f t="shared" si="3"/>
        <v>3240</v>
      </c>
    </row>
    <row r="67" ht="15.75" customHeight="1">
      <c r="A67" s="5" t="s">
        <v>138</v>
      </c>
      <c r="B67" s="5" t="s">
        <v>139</v>
      </c>
      <c r="C67" s="5" t="s">
        <v>28</v>
      </c>
      <c r="D67" s="5" t="s">
        <v>36</v>
      </c>
      <c r="E67" s="5">
        <v>3.0</v>
      </c>
      <c r="F67" s="8" t="str">
        <f t="array" ref="F67:H67">XLOOKUP(C67,DimProductos[ID_Producto],DimProductos[[Articulo]:[Precio_Unitario]])</f>
        <v>Posa Pies Delanteros</v>
      </c>
      <c r="G67" s="8" t="s">
        <v>32</v>
      </c>
      <c r="H67" s="9">
        <v>450.0</v>
      </c>
      <c r="I67" s="10">
        <f t="shared" si="1"/>
        <v>1350</v>
      </c>
      <c r="J67" s="11" t="str">
        <f t="shared" si="2"/>
        <v>0</v>
      </c>
      <c r="K67" s="10">
        <f t="shared" si="3"/>
        <v>1350</v>
      </c>
    </row>
    <row r="68" ht="15.75" customHeight="1">
      <c r="A68" s="5" t="s">
        <v>140</v>
      </c>
      <c r="B68" s="5" t="s">
        <v>139</v>
      </c>
      <c r="C68" s="5" t="s">
        <v>35</v>
      </c>
      <c r="D68" s="5" t="s">
        <v>29</v>
      </c>
      <c r="E68" s="5">
        <v>3.0</v>
      </c>
      <c r="F68" s="8" t="str">
        <f t="array" ref="F68:H68">XLOOKUP(C68,DimProductos[ID_Producto],DimProductos[[Articulo]:[Precio_Unitario]])</f>
        <v>Guantes Touchscreen</v>
      </c>
      <c r="G68" s="8" t="s">
        <v>38</v>
      </c>
      <c r="H68" s="9">
        <v>600.0</v>
      </c>
      <c r="I68" s="10">
        <f t="shared" si="1"/>
        <v>1800</v>
      </c>
      <c r="J68" s="11" t="str">
        <f t="shared" si="2"/>
        <v>0</v>
      </c>
      <c r="K68" s="10">
        <f t="shared" si="3"/>
        <v>1800</v>
      </c>
    </row>
    <row r="69" ht="15.75" customHeight="1">
      <c r="A69" s="5" t="s">
        <v>141</v>
      </c>
      <c r="B69" s="5" t="s">
        <v>139</v>
      </c>
      <c r="C69" s="5" t="s">
        <v>28</v>
      </c>
      <c r="D69" s="5" t="s">
        <v>36</v>
      </c>
      <c r="E69" s="5">
        <v>2.0</v>
      </c>
      <c r="F69" s="8" t="str">
        <f t="array" ref="F69:H69">XLOOKUP(C69,DimProductos[ID_Producto],DimProductos[[Articulo]:[Precio_Unitario]])</f>
        <v>Posa Pies Delanteros</v>
      </c>
      <c r="G69" s="8" t="s">
        <v>32</v>
      </c>
      <c r="H69" s="9">
        <v>450.0</v>
      </c>
      <c r="I69" s="10">
        <f t="shared" si="1"/>
        <v>900</v>
      </c>
      <c r="J69" s="11" t="str">
        <f t="shared" si="2"/>
        <v>0</v>
      </c>
      <c r="K69" s="10">
        <f t="shared" si="3"/>
        <v>900</v>
      </c>
    </row>
    <row r="70" ht="15.75" customHeight="1">
      <c r="A70" s="5" t="s">
        <v>142</v>
      </c>
      <c r="B70" s="5" t="s">
        <v>143</v>
      </c>
      <c r="C70" s="5" t="s">
        <v>39</v>
      </c>
      <c r="D70" s="5" t="s">
        <v>53</v>
      </c>
      <c r="E70" s="5">
        <v>3.0</v>
      </c>
      <c r="F70" s="8" t="str">
        <f t="array" ref="F70:H70">XLOOKUP(C70,DimProductos[ID_Producto],DimProductos[[Articulo]:[Precio_Unitario]])</f>
        <v>Mochila Impermeable</v>
      </c>
      <c r="G70" s="8" t="s">
        <v>38</v>
      </c>
      <c r="H70" s="9">
        <v>950.0</v>
      </c>
      <c r="I70" s="10">
        <f t="shared" si="1"/>
        <v>2850</v>
      </c>
      <c r="J70" s="11">
        <f t="shared" si="2"/>
        <v>285</v>
      </c>
      <c r="K70" s="10">
        <f t="shared" si="3"/>
        <v>2565</v>
      </c>
    </row>
    <row r="71" ht="15.75" customHeight="1">
      <c r="A71" s="5" t="s">
        <v>144</v>
      </c>
      <c r="B71" s="5" t="s">
        <v>143</v>
      </c>
      <c r="C71" s="5" t="s">
        <v>28</v>
      </c>
      <c r="D71" s="5" t="s">
        <v>53</v>
      </c>
      <c r="E71" s="5">
        <v>1.0</v>
      </c>
      <c r="F71" s="8" t="str">
        <f t="array" ref="F71:H71">XLOOKUP(C71,DimProductos[ID_Producto],DimProductos[[Articulo]:[Precio_Unitario]])</f>
        <v>Posa Pies Delanteros</v>
      </c>
      <c r="G71" s="8" t="s">
        <v>32</v>
      </c>
      <c r="H71" s="9">
        <v>450.0</v>
      </c>
      <c r="I71" s="10">
        <f t="shared" si="1"/>
        <v>450</v>
      </c>
      <c r="J71" s="11" t="str">
        <f t="shared" si="2"/>
        <v>0</v>
      </c>
      <c r="K71" s="10">
        <f t="shared" si="3"/>
        <v>450</v>
      </c>
    </row>
    <row r="72" ht="15.75" customHeight="1">
      <c r="A72" s="5" t="s">
        <v>145</v>
      </c>
      <c r="B72" s="5" t="s">
        <v>143</v>
      </c>
      <c r="C72" s="5" t="s">
        <v>20</v>
      </c>
      <c r="D72" s="5" t="s">
        <v>29</v>
      </c>
      <c r="E72" s="5">
        <v>3.0</v>
      </c>
      <c r="F72" s="8" t="str">
        <f t="array" ref="F72:H72">XLOOKUP(C72,DimProductos[ID_Producto],DimProductos[[Articulo]:[Precio_Unitario]])</f>
        <v>Espejos Retrovisores</v>
      </c>
      <c r="G72" s="8" t="s">
        <v>24</v>
      </c>
      <c r="H72" s="9">
        <v>1200.0</v>
      </c>
      <c r="I72" s="10">
        <f t="shared" si="1"/>
        <v>3600</v>
      </c>
      <c r="J72" s="11">
        <f t="shared" si="2"/>
        <v>360</v>
      </c>
      <c r="K72" s="10">
        <f t="shared" si="3"/>
        <v>3240</v>
      </c>
    </row>
    <row r="73" ht="15.75" customHeight="1">
      <c r="A73" s="5" t="s">
        <v>146</v>
      </c>
      <c r="B73" s="5" t="s">
        <v>143</v>
      </c>
      <c r="C73" s="5" t="s">
        <v>39</v>
      </c>
      <c r="D73" s="5" t="s">
        <v>53</v>
      </c>
      <c r="E73" s="5">
        <v>2.0</v>
      </c>
      <c r="F73" s="8" t="str">
        <f t="array" ref="F73:H73">XLOOKUP(C73,DimProductos[ID_Producto],DimProductos[[Articulo]:[Precio_Unitario]])</f>
        <v>Mochila Impermeable</v>
      </c>
      <c r="G73" s="8" t="s">
        <v>38</v>
      </c>
      <c r="H73" s="9">
        <v>950.0</v>
      </c>
      <c r="I73" s="10">
        <f t="shared" si="1"/>
        <v>1900</v>
      </c>
      <c r="J73" s="11" t="str">
        <f t="shared" si="2"/>
        <v>0</v>
      </c>
      <c r="K73" s="10">
        <f t="shared" si="3"/>
        <v>1900</v>
      </c>
    </row>
    <row r="74" ht="15.75" customHeight="1">
      <c r="A74" s="5" t="s">
        <v>147</v>
      </c>
      <c r="B74" s="5" t="s">
        <v>143</v>
      </c>
      <c r="C74" s="5" t="s">
        <v>41</v>
      </c>
      <c r="D74" s="5" t="s">
        <v>29</v>
      </c>
      <c r="E74" s="5">
        <v>1.0</v>
      </c>
      <c r="F74" s="8" t="str">
        <f t="array" ref="F74:H74">XLOOKUP(C74,DimProductos[ID_Producto],DimProductos[[Articulo]:[Precio_Unitario]])</f>
        <v>Casco Cerrado</v>
      </c>
      <c r="G74" s="8" t="s">
        <v>43</v>
      </c>
      <c r="H74" s="9">
        <v>2500.0</v>
      </c>
      <c r="I74" s="10">
        <f t="shared" si="1"/>
        <v>2500</v>
      </c>
      <c r="J74" s="11">
        <f t="shared" si="2"/>
        <v>250</v>
      </c>
      <c r="K74" s="10">
        <f t="shared" si="3"/>
        <v>2250</v>
      </c>
    </row>
    <row r="75" ht="15.75" customHeight="1">
      <c r="A75" s="5" t="s">
        <v>148</v>
      </c>
      <c r="B75" s="5" t="s">
        <v>143</v>
      </c>
      <c r="C75" s="5" t="s">
        <v>20</v>
      </c>
      <c r="D75" s="5" t="s">
        <v>59</v>
      </c>
      <c r="E75" s="5">
        <v>2.0</v>
      </c>
      <c r="F75" s="8" t="str">
        <f t="array" ref="F75:H75">XLOOKUP(C75,DimProductos[ID_Producto],DimProductos[[Articulo]:[Precio_Unitario]])</f>
        <v>Espejos Retrovisores</v>
      </c>
      <c r="G75" s="8" t="s">
        <v>24</v>
      </c>
      <c r="H75" s="9">
        <v>1200.0</v>
      </c>
      <c r="I75" s="10">
        <f t="shared" si="1"/>
        <v>2400</v>
      </c>
      <c r="J75" s="11">
        <f t="shared" si="2"/>
        <v>240</v>
      </c>
      <c r="K75" s="10">
        <f t="shared" si="3"/>
        <v>2160</v>
      </c>
    </row>
    <row r="76" ht="15.75" customHeight="1">
      <c r="A76" s="5" t="s">
        <v>149</v>
      </c>
      <c r="B76" s="5" t="s">
        <v>143</v>
      </c>
      <c r="C76" s="5" t="s">
        <v>41</v>
      </c>
      <c r="D76" s="5" t="s">
        <v>59</v>
      </c>
      <c r="E76" s="5">
        <v>2.0</v>
      </c>
      <c r="F76" s="8" t="str">
        <f t="array" ref="F76:H76">XLOOKUP(C76,DimProductos[ID_Producto],DimProductos[[Articulo]:[Precio_Unitario]])</f>
        <v>Casco Cerrado</v>
      </c>
      <c r="G76" s="8" t="s">
        <v>43</v>
      </c>
      <c r="H76" s="9">
        <v>2500.0</v>
      </c>
      <c r="I76" s="10">
        <f t="shared" si="1"/>
        <v>5000</v>
      </c>
      <c r="J76" s="11">
        <f t="shared" si="2"/>
        <v>500</v>
      </c>
      <c r="K76" s="10">
        <f t="shared" si="3"/>
        <v>4500</v>
      </c>
    </row>
    <row r="77" ht="15.75" customHeight="1">
      <c r="A77" s="5" t="s">
        <v>150</v>
      </c>
      <c r="B77" s="5" t="s">
        <v>151</v>
      </c>
      <c r="C77" s="5" t="s">
        <v>35</v>
      </c>
      <c r="D77" s="5" t="s">
        <v>53</v>
      </c>
      <c r="E77" s="5">
        <v>2.0</v>
      </c>
      <c r="F77" s="8" t="str">
        <f t="array" ref="F77:H77">XLOOKUP(C77,DimProductos[ID_Producto],DimProductos[[Articulo]:[Precio_Unitario]])</f>
        <v>Guantes Touchscreen</v>
      </c>
      <c r="G77" s="8" t="s">
        <v>38</v>
      </c>
      <c r="H77" s="9">
        <v>600.0</v>
      </c>
      <c r="I77" s="10">
        <f t="shared" si="1"/>
        <v>1200</v>
      </c>
      <c r="J77" s="11" t="str">
        <f t="shared" si="2"/>
        <v>0</v>
      </c>
      <c r="K77" s="10">
        <f t="shared" si="3"/>
        <v>1200</v>
      </c>
    </row>
    <row r="78" ht="15.75" customHeight="1">
      <c r="A78" s="5" t="s">
        <v>152</v>
      </c>
      <c r="B78" s="5" t="s">
        <v>151</v>
      </c>
      <c r="C78" s="5" t="s">
        <v>39</v>
      </c>
      <c r="D78" s="5" t="s">
        <v>59</v>
      </c>
      <c r="E78" s="5">
        <v>1.0</v>
      </c>
      <c r="F78" s="8" t="str">
        <f t="array" ref="F78:H78">XLOOKUP(C78,DimProductos[ID_Producto],DimProductos[[Articulo]:[Precio_Unitario]])</f>
        <v>Mochila Impermeable</v>
      </c>
      <c r="G78" s="8" t="s">
        <v>38</v>
      </c>
      <c r="H78" s="9">
        <v>950.0</v>
      </c>
      <c r="I78" s="10">
        <f t="shared" si="1"/>
        <v>950</v>
      </c>
      <c r="J78" s="11" t="str">
        <f t="shared" si="2"/>
        <v>0</v>
      </c>
      <c r="K78" s="10">
        <f t="shared" si="3"/>
        <v>950</v>
      </c>
    </row>
    <row r="79" ht="15.75" customHeight="1">
      <c r="A79" s="5" t="s">
        <v>153</v>
      </c>
      <c r="B79" s="5" t="s">
        <v>154</v>
      </c>
      <c r="C79" s="5" t="s">
        <v>28</v>
      </c>
      <c r="D79" s="5" t="s">
        <v>29</v>
      </c>
      <c r="E79" s="5">
        <v>1.0</v>
      </c>
      <c r="F79" s="8" t="str">
        <f t="array" ref="F79:H79">XLOOKUP(C79,DimProductos[ID_Producto],DimProductos[[Articulo]:[Precio_Unitario]])</f>
        <v>Posa Pies Delanteros</v>
      </c>
      <c r="G79" s="8" t="s">
        <v>32</v>
      </c>
      <c r="H79" s="9">
        <v>450.0</v>
      </c>
      <c r="I79" s="10">
        <f t="shared" si="1"/>
        <v>450</v>
      </c>
      <c r="J79" s="11" t="str">
        <f t="shared" si="2"/>
        <v>0</v>
      </c>
      <c r="K79" s="10">
        <f t="shared" si="3"/>
        <v>450</v>
      </c>
    </row>
    <row r="80" ht="15.75" customHeight="1">
      <c r="A80" s="5" t="s">
        <v>155</v>
      </c>
      <c r="B80" s="5" t="s">
        <v>154</v>
      </c>
      <c r="C80" s="5" t="s">
        <v>28</v>
      </c>
      <c r="D80" s="5" t="s">
        <v>59</v>
      </c>
      <c r="E80" s="5">
        <v>3.0</v>
      </c>
      <c r="F80" s="8" t="str">
        <f t="array" ref="F80:H80">XLOOKUP(C80,DimProductos[ID_Producto],DimProductos[[Articulo]:[Precio_Unitario]])</f>
        <v>Posa Pies Delanteros</v>
      </c>
      <c r="G80" s="8" t="s">
        <v>32</v>
      </c>
      <c r="H80" s="9">
        <v>450.0</v>
      </c>
      <c r="I80" s="10">
        <f t="shared" si="1"/>
        <v>1350</v>
      </c>
      <c r="J80" s="11" t="str">
        <f t="shared" si="2"/>
        <v>0</v>
      </c>
      <c r="K80" s="10">
        <f t="shared" si="3"/>
        <v>1350</v>
      </c>
    </row>
    <row r="81" ht="15.75" customHeight="1">
      <c r="A81" s="5" t="s">
        <v>156</v>
      </c>
      <c r="B81" s="5" t="s">
        <v>154</v>
      </c>
      <c r="C81" s="5" t="s">
        <v>34</v>
      </c>
      <c r="D81" s="5" t="s">
        <v>53</v>
      </c>
      <c r="E81" s="5">
        <v>2.0</v>
      </c>
      <c r="F81" s="8" t="str">
        <f t="array" ref="F81:H81">XLOOKUP(C81,DimProductos[ID_Producto],DimProductos[[Articulo]:[Precio_Unitario]])</f>
        <v>Aceite Sintético</v>
      </c>
      <c r="G81" s="8" t="s">
        <v>45</v>
      </c>
      <c r="H81" s="9">
        <v>350.0</v>
      </c>
      <c r="I81" s="10">
        <f t="shared" si="1"/>
        <v>700</v>
      </c>
      <c r="J81" s="11" t="str">
        <f t="shared" si="2"/>
        <v>0</v>
      </c>
      <c r="K81" s="10">
        <f t="shared" si="3"/>
        <v>700</v>
      </c>
    </row>
    <row r="82" ht="15.75" customHeight="1">
      <c r="A82" s="5" t="s">
        <v>157</v>
      </c>
      <c r="B82" s="5" t="s">
        <v>154</v>
      </c>
      <c r="C82" s="5" t="s">
        <v>46</v>
      </c>
      <c r="D82" s="5" t="s">
        <v>29</v>
      </c>
      <c r="E82" s="5">
        <v>1.0</v>
      </c>
      <c r="F82" s="8" t="str">
        <f t="array" ref="F82:H82">XLOOKUP(C82,DimProductos[ID_Producto],DimProductos[[Articulo]:[Precio_Unitario]])</f>
        <v>Llantas Deportivas</v>
      </c>
      <c r="G82" s="8" t="s">
        <v>48</v>
      </c>
      <c r="H82" s="9">
        <v>3200.0</v>
      </c>
      <c r="I82" s="10">
        <f t="shared" si="1"/>
        <v>3200</v>
      </c>
      <c r="J82" s="11">
        <f t="shared" si="2"/>
        <v>320</v>
      </c>
      <c r="K82" s="10">
        <f t="shared" si="3"/>
        <v>2880</v>
      </c>
    </row>
    <row r="83" ht="15.75" customHeight="1">
      <c r="A83" s="5" t="s">
        <v>158</v>
      </c>
      <c r="B83" s="5" t="s">
        <v>154</v>
      </c>
      <c r="C83" s="5" t="s">
        <v>34</v>
      </c>
      <c r="D83" s="5" t="s">
        <v>36</v>
      </c>
      <c r="E83" s="5">
        <v>2.0</v>
      </c>
      <c r="F83" s="8" t="str">
        <f t="array" ref="F83:H83">XLOOKUP(C83,DimProductos[ID_Producto],DimProductos[[Articulo]:[Precio_Unitario]])</f>
        <v>Aceite Sintético</v>
      </c>
      <c r="G83" s="8" t="s">
        <v>45</v>
      </c>
      <c r="H83" s="9">
        <v>350.0</v>
      </c>
      <c r="I83" s="10">
        <f t="shared" si="1"/>
        <v>700</v>
      </c>
      <c r="J83" s="11" t="str">
        <f t="shared" si="2"/>
        <v>0</v>
      </c>
      <c r="K83" s="10">
        <f t="shared" si="3"/>
        <v>700</v>
      </c>
    </row>
    <row r="84" ht="15.75" customHeight="1">
      <c r="A84" s="5" t="s">
        <v>159</v>
      </c>
      <c r="B84" s="5" t="s">
        <v>154</v>
      </c>
      <c r="C84" s="5" t="s">
        <v>34</v>
      </c>
      <c r="D84" s="5" t="s">
        <v>36</v>
      </c>
      <c r="E84" s="5">
        <v>3.0</v>
      </c>
      <c r="F84" s="8" t="str">
        <f t="array" ref="F84:H84">XLOOKUP(C84,DimProductos[ID_Producto],DimProductos[[Articulo]:[Precio_Unitario]])</f>
        <v>Aceite Sintético</v>
      </c>
      <c r="G84" s="8" t="s">
        <v>45</v>
      </c>
      <c r="H84" s="9">
        <v>350.0</v>
      </c>
      <c r="I84" s="10">
        <f t="shared" si="1"/>
        <v>1050</v>
      </c>
      <c r="J84" s="11" t="str">
        <f t="shared" si="2"/>
        <v>0</v>
      </c>
      <c r="K84" s="10">
        <f t="shared" si="3"/>
        <v>1050</v>
      </c>
    </row>
    <row r="85" ht="15.75" customHeight="1">
      <c r="A85" s="5" t="s">
        <v>160</v>
      </c>
      <c r="B85" s="5" t="s">
        <v>161</v>
      </c>
      <c r="C85" s="5" t="s">
        <v>28</v>
      </c>
      <c r="D85" s="5" t="s">
        <v>59</v>
      </c>
      <c r="E85" s="5">
        <v>3.0</v>
      </c>
      <c r="F85" s="8" t="str">
        <f t="array" ref="F85:H85">XLOOKUP(C85,DimProductos[ID_Producto],DimProductos[[Articulo]:[Precio_Unitario]])</f>
        <v>Posa Pies Delanteros</v>
      </c>
      <c r="G85" s="8" t="s">
        <v>32</v>
      </c>
      <c r="H85" s="9">
        <v>450.0</v>
      </c>
      <c r="I85" s="10">
        <f t="shared" si="1"/>
        <v>1350</v>
      </c>
      <c r="J85" s="11" t="str">
        <f t="shared" si="2"/>
        <v>0</v>
      </c>
      <c r="K85" s="10">
        <f t="shared" si="3"/>
        <v>1350</v>
      </c>
    </row>
    <row r="86" ht="15.75" customHeight="1">
      <c r="A86" s="5" t="s">
        <v>162</v>
      </c>
      <c r="B86" s="5" t="s">
        <v>161</v>
      </c>
      <c r="C86" s="5" t="s">
        <v>41</v>
      </c>
      <c r="D86" s="5" t="s">
        <v>53</v>
      </c>
      <c r="E86" s="5">
        <v>3.0</v>
      </c>
      <c r="F86" s="8" t="str">
        <f t="array" ref="F86:H86">XLOOKUP(C86,DimProductos[ID_Producto],DimProductos[[Articulo]:[Precio_Unitario]])</f>
        <v>Casco Cerrado</v>
      </c>
      <c r="G86" s="8" t="s">
        <v>43</v>
      </c>
      <c r="H86" s="9">
        <v>2500.0</v>
      </c>
      <c r="I86" s="10">
        <f t="shared" si="1"/>
        <v>7500</v>
      </c>
      <c r="J86" s="11">
        <f t="shared" si="2"/>
        <v>750</v>
      </c>
      <c r="K86" s="10">
        <f t="shared" si="3"/>
        <v>6750</v>
      </c>
    </row>
    <row r="87" ht="15.75" customHeight="1">
      <c r="A87" s="5" t="s">
        <v>163</v>
      </c>
      <c r="B87" s="5" t="s">
        <v>161</v>
      </c>
      <c r="C87" s="5" t="s">
        <v>41</v>
      </c>
      <c r="D87" s="5" t="s">
        <v>36</v>
      </c>
      <c r="E87" s="5">
        <v>1.0</v>
      </c>
      <c r="F87" s="8" t="str">
        <f t="array" ref="F87:H87">XLOOKUP(C87,DimProductos[ID_Producto],DimProductos[[Articulo]:[Precio_Unitario]])</f>
        <v>Casco Cerrado</v>
      </c>
      <c r="G87" s="8" t="s">
        <v>43</v>
      </c>
      <c r="H87" s="9">
        <v>2500.0</v>
      </c>
      <c r="I87" s="10">
        <f t="shared" si="1"/>
        <v>2500</v>
      </c>
      <c r="J87" s="11">
        <f t="shared" si="2"/>
        <v>250</v>
      </c>
      <c r="K87" s="10">
        <f t="shared" si="3"/>
        <v>2250</v>
      </c>
    </row>
    <row r="88" ht="15.75" customHeight="1">
      <c r="A88" s="5" t="s">
        <v>164</v>
      </c>
      <c r="B88" s="5" t="s">
        <v>161</v>
      </c>
      <c r="C88" s="5" t="s">
        <v>28</v>
      </c>
      <c r="D88" s="5" t="s">
        <v>29</v>
      </c>
      <c r="E88" s="5">
        <v>1.0</v>
      </c>
      <c r="F88" s="8" t="str">
        <f t="array" ref="F88:H88">XLOOKUP(C88,DimProductos[ID_Producto],DimProductos[[Articulo]:[Precio_Unitario]])</f>
        <v>Posa Pies Delanteros</v>
      </c>
      <c r="G88" s="8" t="s">
        <v>32</v>
      </c>
      <c r="H88" s="9">
        <v>450.0</v>
      </c>
      <c r="I88" s="10">
        <f t="shared" si="1"/>
        <v>450</v>
      </c>
      <c r="J88" s="11" t="str">
        <f t="shared" si="2"/>
        <v>0</v>
      </c>
      <c r="K88" s="10">
        <f t="shared" si="3"/>
        <v>450</v>
      </c>
    </row>
    <row r="89" ht="15.75" customHeight="1">
      <c r="A89" s="5" t="s">
        <v>165</v>
      </c>
      <c r="B89" s="5" t="s">
        <v>166</v>
      </c>
      <c r="C89" s="5" t="s">
        <v>28</v>
      </c>
      <c r="D89" s="5" t="s">
        <v>29</v>
      </c>
      <c r="E89" s="5">
        <v>1.0</v>
      </c>
      <c r="F89" s="8" t="str">
        <f t="array" ref="F89:H89">XLOOKUP(C89,DimProductos[ID_Producto],DimProductos[[Articulo]:[Precio_Unitario]])</f>
        <v>Posa Pies Delanteros</v>
      </c>
      <c r="G89" s="8" t="s">
        <v>32</v>
      </c>
      <c r="H89" s="9">
        <v>450.0</v>
      </c>
      <c r="I89" s="10">
        <f t="shared" si="1"/>
        <v>450</v>
      </c>
      <c r="J89" s="11" t="str">
        <f t="shared" si="2"/>
        <v>0</v>
      </c>
      <c r="K89" s="10">
        <f t="shared" si="3"/>
        <v>450</v>
      </c>
    </row>
    <row r="90" ht="15.75" customHeight="1">
      <c r="A90" s="5" t="s">
        <v>167</v>
      </c>
      <c r="B90" s="5" t="s">
        <v>166</v>
      </c>
      <c r="C90" s="5" t="s">
        <v>28</v>
      </c>
      <c r="D90" s="5" t="s">
        <v>53</v>
      </c>
      <c r="E90" s="5">
        <v>2.0</v>
      </c>
      <c r="F90" s="8" t="str">
        <f t="array" ref="F90:H90">XLOOKUP(C90,DimProductos[ID_Producto],DimProductos[[Articulo]:[Precio_Unitario]])</f>
        <v>Posa Pies Delanteros</v>
      </c>
      <c r="G90" s="8" t="s">
        <v>32</v>
      </c>
      <c r="H90" s="9">
        <v>450.0</v>
      </c>
      <c r="I90" s="10">
        <f t="shared" si="1"/>
        <v>900</v>
      </c>
      <c r="J90" s="11" t="str">
        <f t="shared" si="2"/>
        <v>0</v>
      </c>
      <c r="K90" s="10">
        <f t="shared" si="3"/>
        <v>900</v>
      </c>
    </row>
    <row r="91" ht="15.75" customHeight="1">
      <c r="A91" s="5" t="s">
        <v>168</v>
      </c>
      <c r="B91" s="5" t="s">
        <v>166</v>
      </c>
      <c r="C91" s="5" t="s">
        <v>28</v>
      </c>
      <c r="D91" s="5" t="s">
        <v>36</v>
      </c>
      <c r="E91" s="5">
        <v>3.0</v>
      </c>
      <c r="F91" s="8" t="str">
        <f t="array" ref="F91:H91">XLOOKUP(C91,DimProductos[ID_Producto],DimProductos[[Articulo]:[Precio_Unitario]])</f>
        <v>Posa Pies Delanteros</v>
      </c>
      <c r="G91" s="8" t="s">
        <v>32</v>
      </c>
      <c r="H91" s="9">
        <v>450.0</v>
      </c>
      <c r="I91" s="10">
        <f t="shared" si="1"/>
        <v>1350</v>
      </c>
      <c r="J91" s="11" t="str">
        <f t="shared" si="2"/>
        <v>0</v>
      </c>
      <c r="K91" s="10">
        <f t="shared" si="3"/>
        <v>1350</v>
      </c>
    </row>
    <row r="92" ht="15.75" customHeight="1">
      <c r="A92" s="5" t="s">
        <v>169</v>
      </c>
      <c r="B92" s="5" t="s">
        <v>170</v>
      </c>
      <c r="C92" s="5" t="s">
        <v>46</v>
      </c>
      <c r="D92" s="5" t="s">
        <v>59</v>
      </c>
      <c r="E92" s="5">
        <v>1.0</v>
      </c>
      <c r="F92" s="8" t="str">
        <f t="array" ref="F92:H92">XLOOKUP(C92,DimProductos[ID_Producto],DimProductos[[Articulo]:[Precio_Unitario]])</f>
        <v>Llantas Deportivas</v>
      </c>
      <c r="G92" s="8" t="s">
        <v>48</v>
      </c>
      <c r="H92" s="9">
        <v>3200.0</v>
      </c>
      <c r="I92" s="10">
        <f t="shared" si="1"/>
        <v>3200</v>
      </c>
      <c r="J92" s="11">
        <f t="shared" si="2"/>
        <v>320</v>
      </c>
      <c r="K92" s="10">
        <f t="shared" si="3"/>
        <v>2880</v>
      </c>
    </row>
    <row r="93" ht="15.75" customHeight="1">
      <c r="A93" s="5" t="s">
        <v>171</v>
      </c>
      <c r="B93" s="5" t="s">
        <v>170</v>
      </c>
      <c r="C93" s="5" t="s">
        <v>34</v>
      </c>
      <c r="D93" s="5" t="s">
        <v>36</v>
      </c>
      <c r="E93" s="5">
        <v>3.0</v>
      </c>
      <c r="F93" s="8" t="str">
        <f t="array" ref="F93:H93">XLOOKUP(C93,DimProductos[ID_Producto],DimProductos[[Articulo]:[Precio_Unitario]])</f>
        <v>Aceite Sintético</v>
      </c>
      <c r="G93" s="8" t="s">
        <v>45</v>
      </c>
      <c r="H93" s="9">
        <v>350.0</v>
      </c>
      <c r="I93" s="10">
        <f t="shared" si="1"/>
        <v>1050</v>
      </c>
      <c r="J93" s="11" t="str">
        <f t="shared" si="2"/>
        <v>0</v>
      </c>
      <c r="K93" s="10">
        <f t="shared" si="3"/>
        <v>1050</v>
      </c>
    </row>
    <row r="94" ht="15.75" customHeight="1">
      <c r="A94" s="5" t="s">
        <v>172</v>
      </c>
      <c r="B94" s="5" t="s">
        <v>170</v>
      </c>
      <c r="C94" s="5" t="s">
        <v>28</v>
      </c>
      <c r="D94" s="5" t="s">
        <v>59</v>
      </c>
      <c r="E94" s="5">
        <v>3.0</v>
      </c>
      <c r="F94" s="8" t="str">
        <f t="array" ref="F94:H94">XLOOKUP(C94,DimProductos[ID_Producto],DimProductos[[Articulo]:[Precio_Unitario]])</f>
        <v>Posa Pies Delanteros</v>
      </c>
      <c r="G94" s="8" t="s">
        <v>32</v>
      </c>
      <c r="H94" s="9">
        <v>450.0</v>
      </c>
      <c r="I94" s="10">
        <f t="shared" si="1"/>
        <v>1350</v>
      </c>
      <c r="J94" s="11" t="str">
        <f t="shared" si="2"/>
        <v>0</v>
      </c>
      <c r="K94" s="10">
        <f t="shared" si="3"/>
        <v>1350</v>
      </c>
    </row>
    <row r="95" ht="15.75" customHeight="1">
      <c r="A95" s="5" t="s">
        <v>173</v>
      </c>
      <c r="B95" s="5" t="s">
        <v>170</v>
      </c>
      <c r="C95" s="5" t="s">
        <v>39</v>
      </c>
      <c r="D95" s="5" t="s">
        <v>59</v>
      </c>
      <c r="E95" s="5">
        <v>2.0</v>
      </c>
      <c r="F95" s="8" t="str">
        <f t="array" ref="F95:H95">XLOOKUP(C95,DimProductos[ID_Producto],DimProductos[[Articulo]:[Precio_Unitario]])</f>
        <v>Mochila Impermeable</v>
      </c>
      <c r="G95" s="8" t="s">
        <v>38</v>
      </c>
      <c r="H95" s="9">
        <v>950.0</v>
      </c>
      <c r="I95" s="10">
        <f t="shared" si="1"/>
        <v>1900</v>
      </c>
      <c r="J95" s="11" t="str">
        <f t="shared" si="2"/>
        <v>0</v>
      </c>
      <c r="K95" s="10">
        <f t="shared" si="3"/>
        <v>1900</v>
      </c>
    </row>
    <row r="96" ht="15.75" customHeight="1">
      <c r="A96" s="5" t="s">
        <v>174</v>
      </c>
      <c r="B96" s="5" t="s">
        <v>175</v>
      </c>
      <c r="C96" s="5" t="s">
        <v>46</v>
      </c>
      <c r="D96" s="5" t="s">
        <v>36</v>
      </c>
      <c r="E96" s="5">
        <v>1.0</v>
      </c>
      <c r="F96" s="8" t="str">
        <f t="array" ref="F96:H96">XLOOKUP(C96,DimProductos[ID_Producto],DimProductos[[Articulo]:[Precio_Unitario]])</f>
        <v>Llantas Deportivas</v>
      </c>
      <c r="G96" s="8" t="s">
        <v>48</v>
      </c>
      <c r="H96" s="9">
        <v>3200.0</v>
      </c>
      <c r="I96" s="10">
        <f t="shared" si="1"/>
        <v>3200</v>
      </c>
      <c r="J96" s="11">
        <f t="shared" si="2"/>
        <v>320</v>
      </c>
      <c r="K96" s="10">
        <f t="shared" si="3"/>
        <v>2880</v>
      </c>
    </row>
    <row r="97" ht="15.75" customHeight="1">
      <c r="A97" s="5" t="s">
        <v>176</v>
      </c>
      <c r="B97" s="5" t="s">
        <v>177</v>
      </c>
      <c r="C97" s="5" t="s">
        <v>35</v>
      </c>
      <c r="D97" s="5" t="s">
        <v>29</v>
      </c>
      <c r="E97" s="5">
        <v>2.0</v>
      </c>
      <c r="F97" s="8" t="str">
        <f t="array" ref="F97:H97">XLOOKUP(C97,DimProductos[ID_Producto],DimProductos[[Articulo]:[Precio_Unitario]])</f>
        <v>Guantes Touchscreen</v>
      </c>
      <c r="G97" s="8" t="s">
        <v>38</v>
      </c>
      <c r="H97" s="9">
        <v>600.0</v>
      </c>
      <c r="I97" s="10">
        <f t="shared" si="1"/>
        <v>1200</v>
      </c>
      <c r="J97" s="11" t="str">
        <f t="shared" si="2"/>
        <v>0</v>
      </c>
      <c r="K97" s="10">
        <f t="shared" si="3"/>
        <v>1200</v>
      </c>
    </row>
    <row r="98" ht="15.75" customHeight="1">
      <c r="A98" s="5" t="s">
        <v>178</v>
      </c>
      <c r="B98" s="5" t="s">
        <v>177</v>
      </c>
      <c r="C98" s="5" t="s">
        <v>35</v>
      </c>
      <c r="D98" s="5" t="s">
        <v>36</v>
      </c>
      <c r="E98" s="5">
        <v>1.0</v>
      </c>
      <c r="F98" s="8" t="str">
        <f t="array" ref="F98:H98">XLOOKUP(C98,DimProductos[ID_Producto],DimProductos[[Articulo]:[Precio_Unitario]])</f>
        <v>Guantes Touchscreen</v>
      </c>
      <c r="G98" s="8" t="s">
        <v>38</v>
      </c>
      <c r="H98" s="9">
        <v>600.0</v>
      </c>
      <c r="I98" s="10">
        <f t="shared" si="1"/>
        <v>600</v>
      </c>
      <c r="J98" s="11" t="str">
        <f t="shared" si="2"/>
        <v>0</v>
      </c>
      <c r="K98" s="10">
        <f t="shared" si="3"/>
        <v>600</v>
      </c>
    </row>
    <row r="99" ht="15.75" customHeight="1">
      <c r="A99" s="5" t="s">
        <v>179</v>
      </c>
      <c r="B99" s="5" t="s">
        <v>177</v>
      </c>
      <c r="C99" s="5" t="s">
        <v>49</v>
      </c>
      <c r="D99" s="5" t="s">
        <v>36</v>
      </c>
      <c r="E99" s="5">
        <v>3.0</v>
      </c>
      <c r="F99" s="8" t="str">
        <f t="array" ref="F99:H99">XLOOKUP(C99,DimProductos[ID_Producto],DimProductos[[Articulo]:[Precio_Unitario]])</f>
        <v>Alforjas Laterales</v>
      </c>
      <c r="G99" s="8" t="s">
        <v>51</v>
      </c>
      <c r="H99" s="9">
        <v>1800.0</v>
      </c>
      <c r="I99" s="10">
        <f t="shared" si="1"/>
        <v>5400</v>
      </c>
      <c r="J99" s="11">
        <f t="shared" si="2"/>
        <v>540</v>
      </c>
      <c r="K99" s="10">
        <f t="shared" si="3"/>
        <v>4860</v>
      </c>
    </row>
    <row r="100" ht="15.75" customHeight="1">
      <c r="A100" s="5" t="s">
        <v>180</v>
      </c>
      <c r="B100" s="5" t="s">
        <v>181</v>
      </c>
      <c r="C100" s="5" t="s">
        <v>35</v>
      </c>
      <c r="D100" s="5" t="s">
        <v>29</v>
      </c>
      <c r="E100" s="5">
        <v>1.0</v>
      </c>
      <c r="F100" s="8" t="str">
        <f t="array" ref="F100:H100">XLOOKUP(C100,DimProductos[ID_Producto],DimProductos[[Articulo]:[Precio_Unitario]])</f>
        <v>Guantes Touchscreen</v>
      </c>
      <c r="G100" s="8" t="s">
        <v>38</v>
      </c>
      <c r="H100" s="9">
        <v>600.0</v>
      </c>
      <c r="I100" s="10">
        <f t="shared" si="1"/>
        <v>600</v>
      </c>
      <c r="J100" s="11" t="str">
        <f t="shared" si="2"/>
        <v>0</v>
      </c>
      <c r="K100" s="10">
        <f t="shared" si="3"/>
        <v>600</v>
      </c>
    </row>
    <row r="101" ht="15.75" customHeight="1">
      <c r="A101" s="5" t="s">
        <v>182</v>
      </c>
      <c r="B101" s="5" t="s">
        <v>181</v>
      </c>
      <c r="C101" s="5" t="s">
        <v>49</v>
      </c>
      <c r="D101" s="5" t="s">
        <v>36</v>
      </c>
      <c r="E101" s="5">
        <v>3.0</v>
      </c>
      <c r="F101" s="8" t="str">
        <f t="array" ref="F101:H101">XLOOKUP(C101,DimProductos[ID_Producto],DimProductos[[Articulo]:[Precio_Unitario]])</f>
        <v>Alforjas Laterales</v>
      </c>
      <c r="G101" s="8" t="s">
        <v>51</v>
      </c>
      <c r="H101" s="9">
        <v>1800.0</v>
      </c>
      <c r="I101" s="10">
        <f t="shared" si="1"/>
        <v>5400</v>
      </c>
      <c r="J101" s="11">
        <f t="shared" si="2"/>
        <v>540</v>
      </c>
      <c r="K101" s="10">
        <f t="shared" si="3"/>
        <v>4860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86C813E-4647-42F1-8BEB-81A8ACA9AACF}" filter="1" showAutoFilter="1">
      <autoFilter ref="$A$1:$K$101"/>
    </customSheetView>
  </customSheetViews>
  <dataValidations>
    <dataValidation type="custom" allowBlank="1" showDropDown="1" sqref="I2:J101">
      <formula1>AND(ISNUMBER(I2),(NOT(OR(NOT(ISERROR(DATEVALUE(I2))), AND(ISNUMBER(I2), LEFT(CELL("format", I2))="D")))))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